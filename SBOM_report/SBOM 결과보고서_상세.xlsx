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FINS\Downloads\"/>
    </mc:Choice>
  </mc:AlternateContent>
  <xr:revisionPtr revIDLastSave="0" documentId="13_ncr:1_{6A00B975-AB9F-406D-BCA2-D569FC9231EB}" xr6:coauthVersionLast="47" xr6:coauthVersionMax="47" xr10:uidLastSave="{00000000-0000-0000-0000-000000000000}"/>
  <bookViews>
    <workbookView xWindow="-108" yWindow="-108" windowWidth="23256" windowHeight="12456" xr2:uid="{00000000-000D-0000-FFFF-FFFF00000000}"/>
  </bookViews>
  <sheets>
    <sheet name="안내" sheetId="3" r:id="rId1"/>
    <sheet name="컴포넌트 보안취약점_60건" sheetId="1" r:id="rId2"/>
    <sheet name="CVE 보안취약점_9건" sheetId="2" r:id="rId3"/>
  </sheets>
  <definedNames>
    <definedName name="_xlnm._FilterDatabase" localSheetId="2" hidden="1">'CVE 보안취약점_9건'!$A$2:$J$11</definedName>
    <definedName name="_xlnm._FilterDatabase" localSheetId="1" hidden="1">'컴포넌트 보안취약점_60건'!$A$2:$P$62</definedName>
    <definedName name="_xlnm.Print_Area" localSheetId="1">'컴포넌트 보안취약점_60건'!$A$2:$N$2</definedName>
  </definedNames>
  <calcPr calcId="181029"/>
</workbook>
</file>

<file path=xl/calcChain.xml><?xml version="1.0" encoding="utf-8"?>
<calcChain xmlns="http://schemas.openxmlformats.org/spreadsheetml/2006/main">
  <c r="G8" i="3" l="1"/>
  <c r="H9" i="3"/>
  <c r="I9" i="3"/>
  <c r="J9" i="3"/>
  <c r="K9" i="3"/>
  <c r="L9" i="3"/>
  <c r="M9" i="3"/>
  <c r="D1" i="1" l="1"/>
  <c r="G2" i="2"/>
  <c r="J2" i="1"/>
  <c r="I2" i="1"/>
  <c r="H2" i="1"/>
  <c r="G2" i="1"/>
  <c r="F2" i="1"/>
  <c r="E2" i="1"/>
</calcChain>
</file>

<file path=xl/sharedStrings.xml><?xml version="1.0" encoding="utf-8"?>
<sst xmlns="http://schemas.openxmlformats.org/spreadsheetml/2006/main" count="494" uniqueCount="177">
  <si>
    <t>No.</t>
  </si>
  <si>
    <t>컴포넌트명</t>
  </si>
  <si>
    <t>버전</t>
  </si>
  <si>
    <t>보안 취약점 위험도</t>
  </si>
  <si>
    <t>컴포넌트 라이선스</t>
  </si>
  <si>
    <t>검출경로</t>
  </si>
  <si>
    <t>조치버전</t>
  </si>
  <si>
    <t>컴포넌트 저장소</t>
  </si>
  <si>
    <t>의존성 구분</t>
  </si>
  <si>
    <t>라이선스명</t>
  </si>
  <si>
    <t>위험도</t>
  </si>
  <si>
    <t>CVE ID</t>
  </si>
  <si>
    <t>CVSS Score</t>
  </si>
  <si>
    <t>EPSS Score</t>
  </si>
  <si>
    <t>CWE</t>
  </si>
  <si>
    <t>취약점 설명</t>
  </si>
  <si>
    <t>Apache License 2.0</t>
  </si>
  <si>
    <t>(GNU General Public License v2.0 w/Classpath exception OR Common Development and Distribution License 1.1)</t>
  </si>
  <si>
    <t>BSD 3-clause "New" or "Revised" License</t>
  </si>
  <si>
    <t>(Universal FOSS Exception, Version 1.0 AND GNU General Public License v2.0 only)</t>
  </si>
  <si>
    <t>직접 의존성</t>
  </si>
  <si>
    <t>CVE-2026-34477</t>
  </si>
  <si>
    <t>CVE-2026-34478</t>
  </si>
  <si>
    <t>CVE-2026-34479</t>
  </si>
  <si>
    <t>CVE-2026-34480</t>
  </si>
  <si>
    <t>CVE-2026-34481</t>
  </si>
  <si>
    <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Appender?셲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</si>
  <si>
    <t>The fix for  CVE-2025-68161 https://logging.apache.org/security.html#CVE-2025-68161  was incomplete: it addressed hostname verification only when enabled via the  log4j2.sslVerifyHostName https://logging.apache.org/log4j/2.x/manual/systemproperties.html#log4j2.sslVerifyHostName  system property, but not when configured through the  verifyHostName https://logging.apache.org/log4j/2.x/manual/appenders/network.html#SslConfiguration-attr-verifyHostName  attribute of the  element.  Although the verifyHostName configuration attribute was introduced in Log4j Core 2.12.0, it was silently ignored in all versions through 2.25.3, leaving TLS connections vulnerable to interception regardless of the configured value.  A network-based attacker may be able to perform a man-in-the-middle attack when all of the following conditions are met:    *  An SMTP, Socket, or Syslog appender is in use.   *  TLS is configured via a nested  element.   *  The attacker can present a certificate issued by a CA trusted by the appender's configured trust store, or by the default Java trust store if none is configured. This issue does not affect users of the HTTP appender, which uses a separate  verifyHostname https://logging.apache.org/log4j/2.x/manual/appenders/network.html#HttpAppender-attr-verifyHostName  attribute that was not subject to this bug and verifies host names by default.  Users are advised to upgrade to Apache Log4j Core 2.25.4, which corrects this issue.</t>
  </si>
  <si>
    <t>Apache Log4j Core's  Rfc5424Layout https://logging.apache.org/log4j/2.x/manual/layouts.html#RFC5424Layout , in versions 2.21.0 through 2.25.3, is vulnerable to log injection via CRLF sequences due to undocumented renames of security-relevant configuration attributes.  Two distinct issues affect users of stream-based syslog services who configure Rfc5424Layout directly:    *  The newLineEscape attribute was silently renamed, causing newline escaping to stop working for users of TCP framing (RFC 6587), exposing them to CRLF injection in log output.   *  The useTlsMessageFormat attribute was silently renamed, causing users of TLS framing (RFC 5425) to be silently downgraded to unframed TCP (RFC 6587), without newline escaping.   Users of the SyslogAppender are not affected, as its configuration attributes were not modified.  Users are advised to upgrade to Apache Log4j Core 2.25.4, which corrects this issue.</t>
  </si>
  <si>
    <t>The Log4j1XmlLayout from the Apache Log4j 1-to-Log4j 2 bridge fails to escape characters forbidden by the XML 1.0 standard, producing malformed XML output. Conforming XML parsers are required to reject documents containing such characters with a fatal error, which may cause downstream log processing systems to drop or fail to index affected records.  Two groups of users are affected:    *  Those using Log4j1XmlLayout directly in a Log4j Core 2 configuration file.   *  Those using the Log4j 1 configuration compatibility layer with org.apache.log4j.xml.XMLLayout specified as the layout class.   Users are advised to upgrade to Apache Log4j 1-to-Log4j 2 bridge version 2.25.4, which corrects this issue.  Note: The Apache Log4j 1-to-Log4j 2 bridge is deprecated and will not be present in Log4j 3. Users are encouraged to consult the  Log4j 1 to Log4j 2 migration guide https://logging.apache.org/log4j/2.x/migrate-from-log4j1.html , and specifically the section on eliminating reliance on the bridge.</t>
  </si>
  <si>
    <t>Apache Log4j Core's  XmlLayout https://logging.apache.org/log4j/2.x/manual/layouts.html#XmlLayout , in versions up to and including 2.25.3, fails to sanitize characters forbidden by the  XML 1.0 specification https://www.w3.org/TR/xml/#charsets  producing invalid XML output whenever a log message or MDC value contains such characters.  The impact depends on the StAX implementation in use:    *  JRE built-in StAX: Forbidden characters are silently written to the output, producing malformed XML. Conforming parsers must reject such documents with a fatal error, which may cause downstream log-processing systems to drop the affected records.   *  Alternative StAX implementations (e.g.,  Woodstox https://github.com/FasterXML/woodstox , a transitive dependency of the Jackson XML Dataformat module): An exception is thrown during the logging call, and the log event is never delivered to its intended appender, only to Log4j's internal status logger.   Users are advised to upgrade to Apache Log4j Core 2.25.4, which corrects this issue by sanitizing forbidden characters before XML output.</t>
  </si>
  <si>
    <t>Apache Log4j's  JsonTemplateLayout https://logging.apache.org/log4j/2.x/manual/json-template-layout.html , in versions up to and including 2.25.3, produces invalid JSON output when log events contain non-finite floating-point values (NaN, Infinity, or -Infinity), which are prohibited by RFC 8259. This may cause downstream log processing systems to reject or fail to index affected records.  An attacker can exploit this issue only if both of the following conditions are met:    *  The application uses JsonTemplateLayout.   *  The application logs a MapMessage containing an attacker-controlled floating-point value.   Users are advised to upgrade to Apache Log4j JSON Template Layout 2.25.4, which corrects this issue.</t>
  </si>
  <si>
    <t>CWE-295, CWE-297</t>
  </si>
  <si>
    <t>CWE-117, CWE-684</t>
  </si>
  <si>
    <t>CWE-116</t>
  </si>
  <si>
    <t>src/main/webapp/WEB-INF/lib/commons-codec-1.9.jar</t>
  </si>
  <si>
    <t>src/main/webapp/WEB-INF/lib/apache-log4j-2.25.0-bin.zip!/log4j-api-2.25.0.jar
src/main/webapp/WEB-INF/lib/log4j-api-2.25.0.jar</t>
  </si>
  <si>
    <t>src/main/webapp/WEB-INF/lib/apache-log4j-2.25.0-bin.zip!/log4j-core-2.25.0.jar
src/main/webapp/WEB-INF/lib/log4j-core-2.25.0.jar</t>
  </si>
  <si>
    <t>src/main/webapp/WEB-INF/lib/apache-log4j-2.25.0-bin.zip!/log4j-api-test-2.25.0.jar</t>
  </si>
  <si>
    <t>src/main/webapp/WEB-INF/lib/apache-log4j-2.25.0-bin.zip!/log4j-appserver-2.25.0.jar</t>
  </si>
  <si>
    <t>src/main/webapp/WEB-INF/lib/apache-log4j-2.25.0-bin.zip!/log4j-cassandra-2.25.0.jar</t>
  </si>
  <si>
    <t>src/main/webapp/WEB-INF/lib/apache-log4j-2.25.0-bin.zip!/log4j-core-test-2.25.0.jar</t>
  </si>
  <si>
    <t>src/main/webapp/WEB-INF/lib/apache-log4j-2.25.0-bin.zip!/log4j-couchdb-2.25.0.jar</t>
  </si>
  <si>
    <t>src/main/webapp/WEB-INF/lib/apache-log4j-2.25.0-bin.zip!/log4j-docker-2.25.0.jar</t>
  </si>
  <si>
    <t>src/main/webapp/WEB-INF/lib/apache-log4j-2.25.0-bin.zip!/log4j-jdbc-dbcp2-2.25.0.jar</t>
  </si>
  <si>
    <t>src/main/webapp/WEB-INF/lib/apache-log4j-2.25.0-bin.zip!/log4j-jpl-2.25.0.jar</t>
  </si>
  <si>
    <t>src/main/webapp/WEB-INF/lib/apache-log4j-2.25.0-bin.zip!/log4j-jpa-2.25.0.jar</t>
  </si>
  <si>
    <t>src/main/webapp/WEB-INF/lib/apache-log4j-2.25.0-bin.zip!/log4j-jul-2.25.0.jar</t>
  </si>
  <si>
    <t>src/main/webapp/WEB-INF/lib/apache-log4j-2.25.0-bin.zip!/log4j-jakarta-jms-2.25.0.jar</t>
  </si>
  <si>
    <t>src/main/webapp/WEB-INF/lib/apache-log4j-2.25.0-bin.zip!/log4j-jakarta-smtp-2.25.0.jar</t>
  </si>
  <si>
    <t>src/main/webapp/WEB-INF/lib/apache-log4j-2.25.0-bin.zip!/log4j-jakarta-web-2.25.0.jar</t>
  </si>
  <si>
    <t>src/main/webapp/WEB-INF/lib/apache-log4j-2.25.0-bin.zip!/log4j-layout-template-json-2.25.0.jar</t>
  </si>
  <si>
    <t>src/main/webapp/WEB-INF/lib/apache-log4j-2.25.0-bin.zip!/log4j-mongodb-2.25.0.jar
src/main/webapp/WEB-INF/lib/apache-log4j-2.25.0-bin.zip!/log4j-couchdb-2.25.0.jar!/META-INF/org/apache/logging/</t>
  </si>
  <si>
    <t>src/main/webapp/WEB-INF/lib/apache-log4j-2.25.0-bin.zip!/log4j-mongodb4-2.25.0.jar</t>
  </si>
  <si>
    <t>src/main/webapp/WEB-INF/lib/apache-log4j-2.25.0-bin.zip!/log4j-slf4j2-impl-2.25.0.jar</t>
  </si>
  <si>
    <t>src/main/webapp/WEB-INF/lib/apache-log4j-2.25.0-bin.zip!/log4j-slf4j-impl-2.25.0.jar</t>
  </si>
  <si>
    <t>src/main/webapp/WEB-INF/lib/apache-log4j-2.25.0-bin.zip!/log4j-spring-boot-2.25.0.jar</t>
  </si>
  <si>
    <t>src/main/webapp/WEB-INF/lib/apache-log4j-2.25.0-bin.zip!/log4j-spring-cloud-config-client-2.25.0.jar</t>
  </si>
  <si>
    <t>src/main/webapp/WEB-INF/lib/apache-log4j-2.25.0-bin.zip!/log4j-iostreams-2.25.0.jar</t>
  </si>
  <si>
    <t>src/main/webapp/WEB-INF/lib/apache-log4j-2.25.0-bin.zip!/log4j-taglib-2.25.0.jar</t>
  </si>
  <si>
    <t>src/main/webapp/WEB-INF/lib/apache-log4j-2.25.0-bin.zip!/log4j-web-2.25.0.jar
src/main/webapp/WEB-INF/lib/apache-log4j-2.25.0-bin.zip!/log4j-jakarta-web-2.25.0.jar!/META-INF/org/</t>
  </si>
  <si>
    <t>src/main/webapp/WEB-INF/lib/apache-log4j-2.25.0-bin.zip!/log4j-to-jul-2.25.0.jar</t>
  </si>
  <si>
    <t>src/main/webapp/WEB-INF/lib/apache-log4j-2.25.0-bin.zip!/log4j-to-slf4j-2.25.0.jar</t>
  </si>
  <si>
    <t>src/main/webapp/WEB-INF/lib/javax.servlet-api-4.0.1.jar</t>
  </si>
  <si>
    <t>src/main/webapp/WEB-INF/lib/apache-log4j-2.25.0-bin.zip!/log4j-jcl-2.25.0.jar</t>
  </si>
  <si>
    <t>src/main/webapp/WEB-INF/lib/apache-log4j-2.25.0-bin.zip!/log4j-1.2-api-2.25.0.jar</t>
  </si>
  <si>
    <t>src/main/webapp/WEB-INF/lib/googleauth-1.4.0.jar</t>
  </si>
  <si>
    <t>src/main/webapp/WEB-INF/lib/mysql-connector-j-8.4.0.jar</t>
  </si>
  <si>
    <t>None</t>
  </si>
  <si>
    <t>-</t>
  </si>
  <si>
    <t>MIT</t>
  </si>
  <si>
    <t>BSD-3-Clause</t>
  </si>
  <si>
    <t>Apache-2.0</t>
  </si>
  <si>
    <t>CDDL-1.0,CDDL-1.1,GPL-2.0-with-classpath-exception</t>
  </si>
  <si>
    <t>EPL-1.0</t>
  </si>
  <si>
    <t>CPL-1.0</t>
  </si>
  <si>
    <t>npm</t>
  </si>
  <si>
    <t>Maven</t>
  </si>
  <si>
    <t>com.conversantmedia:disruptor</t>
    <phoneticPr fontId="1" type="noConversion"/>
  </si>
  <si>
    <t>src/main/webapp/WEB-INF/lib/log4j-core-2.25.0.jar</t>
  </si>
  <si>
    <t>src/main/webapp/WEB-INF/lib/log4j-core-2.25.0.jar</t>
    <phoneticPr fontId="1" type="noConversion"/>
  </si>
  <si>
    <t>com.fasterxml.jackson.core:jackson-core</t>
    <phoneticPr fontId="1" type="noConversion"/>
  </si>
  <si>
    <t>com.fasterxml.jackson.core:jackson-databind</t>
    <phoneticPr fontId="1" type="noConversion"/>
  </si>
  <si>
    <t>com.fasterxml.jackson.dataformat:jackson-dataformat-xml</t>
    <phoneticPr fontId="1" type="noConversion"/>
  </si>
  <si>
    <t>com.fasterxml.jackson.dataformat:jackson-dataformat-yaml</t>
    <phoneticPr fontId="1" type="noConversion"/>
  </si>
  <si>
    <t>com.lmax:disruptor</t>
    <phoneticPr fontId="1" type="noConversion"/>
  </si>
  <si>
    <t>전이 의존성</t>
    <phoneticPr fontId="1" type="noConversion"/>
  </si>
  <si>
    <t>com.mysql:mysql-connector-j</t>
    <phoneticPr fontId="1" type="noConversion"/>
  </si>
  <si>
    <t>src/main/webapp/WEB-INF/lib/mysql-connector-j-8.4.0.jar</t>
    <phoneticPr fontId="1" type="noConversion"/>
  </si>
  <si>
    <t>com.sun.mail:javax.mail</t>
    <phoneticPr fontId="1" type="noConversion"/>
  </si>
  <si>
    <t>com.tencentcloudapi:tencentcloud-sdk-java-cdn</t>
    <phoneticPr fontId="1" type="noConversion"/>
  </si>
  <si>
    <t>src/main/webapp/WEB-INF/lib/javax.servlet-api-4.0.1.jar</t>
    <phoneticPr fontId="1" type="noConversion"/>
  </si>
  <si>
    <t>javax.activation:javax.activation-api</t>
    <phoneticPr fontId="1" type="noConversion"/>
  </si>
  <si>
    <t>javax.jms:javax.jms-api</t>
    <phoneticPr fontId="1" type="noConversion"/>
  </si>
  <si>
    <t>javax.mail:javax.mail-api</t>
    <phoneticPr fontId="1" type="noConversion"/>
  </si>
  <si>
    <t>org.apache.commons:commons-compress</t>
    <phoneticPr fontId="1" type="noConversion"/>
  </si>
  <si>
    <t>org.apache.commons:commons-csv</t>
    <phoneticPr fontId="1" type="noConversion"/>
  </si>
  <si>
    <t>High</t>
    <phoneticPr fontId="1" type="noConversion"/>
  </si>
  <si>
    <t>Medium</t>
    <phoneticPr fontId="1" type="noConversion"/>
  </si>
  <si>
    <t>CVE-2020-15250</t>
  </si>
  <si>
    <t>CVE-2020-13956</t>
  </si>
  <si>
    <t>In JUnit4 from version 4.7 and before 4.13.1, the test rule TemporaryFolder contains a local information disclosure vulnerability.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This vulnerability impacts you if the JUnit tests write sensitive information, like API keys or passwords, into the temporary folder, and the JUnit tests execute in an environment where the OS has other untrusted users. Because certain JDK file system APIs were only added in JDK 1.7, this this fix is dependent upon the version of the JDK you are using. For Java 1.7 and higher users: this vulnerability is fixed in 4.13.1. For Java 1.6 and lower users: no patch is available, you must use the workaround below. If you are unable to patch, or are stuck running on Java 1.6, specifying the `java.io.tmpdir` system environment variable to a directory that is exclusively owned by the executing user will fix this vulnerability. For more information, including an example of vulnerable code, see the referenced GitHub Security Advisory.</t>
  </si>
  <si>
    <t>Apache HttpClient versions prior to version 4.5.13 and 5.0.3 can misinterpret malformed authority component in request URIs passed to the library as java.net.URI object and pick the wrong target host for request execution.</t>
  </si>
  <si>
    <t>org.apache.logging.log4j:log4j-core</t>
    <phoneticPr fontId="1" type="noConversion"/>
  </si>
  <si>
    <t>org.apache.httpcomponents:httpclient</t>
    <phoneticPr fontId="1" type="noConversion"/>
  </si>
  <si>
    <t>junit:junit</t>
    <phoneticPr fontId="1" type="noConversion"/>
  </si>
  <si>
    <t>4.6 이하 버전으로 업데이트하세요.
4.13.1 이상 버전으로 업데이트하세요.</t>
  </si>
  <si>
    <t>4.5.13 이상 버전으로 업데이트하세요.</t>
  </si>
  <si>
    <t>CVE-2025-68161</t>
    <phoneticPr fontId="1" type="noConversion"/>
  </si>
  <si>
    <t>2.25.3 버전으로 업데이트하세요.
2.25.4 버전으로 업데이트하세요.</t>
    <phoneticPr fontId="1" type="noConversion"/>
  </si>
  <si>
    <r>
      <rPr>
        <b/>
        <sz val="11"/>
        <rFont val="맑은 고딕"/>
        <family val="3"/>
        <charset val="129"/>
      </rPr>
      <t>* CVE ID, 컴포넌트명, 버전</t>
    </r>
    <r>
      <rPr>
        <sz val="11"/>
        <color theme="1"/>
        <rFont val="맑은 고딕"/>
        <family val="2"/>
        <charset val="129"/>
        <scheme val="minor"/>
      </rPr>
      <t xml:space="preserve"> : 프로젝트에서 사용중인 오픈소스 컴포넌트 및 사용버전과 매칭되는 CVE 취약점 번호를 나타냅니다.
</t>
    </r>
    <r>
      <rPr>
        <b/>
        <sz val="11"/>
        <rFont val="맑은 고딕"/>
        <family val="3"/>
        <charset val="129"/>
      </rPr>
      <t>* 위험도</t>
    </r>
    <r>
      <rPr>
        <sz val="11"/>
        <color theme="1"/>
        <rFont val="맑은 고딕"/>
        <family val="2"/>
        <charset val="129"/>
        <scheme val="minor"/>
      </rPr>
      <t xml:space="preserve"> :  CVSS score에 따라 4단계로 분류 합니다. ※ </t>
    </r>
    <r>
      <rPr>
        <b/>
        <sz val="11"/>
        <color rgb="FFFF0000"/>
        <rFont val="맑은 고딕"/>
        <family val="3"/>
        <charset val="129"/>
      </rPr>
      <t>Critical (9.0~10.0)</t>
    </r>
    <r>
      <rPr>
        <sz val="11"/>
        <color theme="1"/>
        <rFont val="맑은 고딕"/>
        <family val="2"/>
        <charset val="129"/>
        <scheme val="minor"/>
      </rPr>
      <t xml:space="preserve">, </t>
    </r>
    <r>
      <rPr>
        <b/>
        <sz val="11"/>
        <color rgb="FFDB9700"/>
        <rFont val="맑은 고딕"/>
        <family val="3"/>
        <charset val="129"/>
      </rPr>
      <t>High (7.0~8.0)</t>
    </r>
    <r>
      <rPr>
        <sz val="11"/>
        <color theme="1"/>
        <rFont val="맑은 고딕"/>
        <family val="2"/>
        <charset val="129"/>
        <scheme val="minor"/>
      </rPr>
      <t xml:space="preserve">, </t>
    </r>
    <r>
      <rPr>
        <b/>
        <sz val="11"/>
        <color rgb="FFFFFF00"/>
        <rFont val="맑은 고딕"/>
        <family val="3"/>
        <charset val="129"/>
      </rPr>
      <t>Medium (4.0~6.9)</t>
    </r>
    <r>
      <rPr>
        <sz val="11"/>
        <color theme="1"/>
        <rFont val="맑은 고딕"/>
        <family val="2"/>
        <charset val="129"/>
        <scheme val="minor"/>
      </rPr>
      <t xml:space="preserve">, </t>
    </r>
    <r>
      <rPr>
        <b/>
        <sz val="11"/>
        <color rgb="FF92D050"/>
        <rFont val="맑은 고딕"/>
        <family val="3"/>
        <charset val="129"/>
      </rPr>
      <t>Low (0.1~3.9)</t>
    </r>
    <r>
      <rPr>
        <sz val="11"/>
        <color theme="1"/>
        <rFont val="맑은 고딕"/>
        <family val="2"/>
        <charset val="129"/>
        <scheme val="minor"/>
      </rPr>
      <t xml:space="preserve">, 미분류
</t>
    </r>
    <r>
      <rPr>
        <b/>
        <sz val="11"/>
        <rFont val="맑은 고딕"/>
        <family val="3"/>
        <charset val="129"/>
      </rPr>
      <t>* CVSS score</t>
    </r>
    <r>
      <rPr>
        <sz val="11"/>
        <color theme="1"/>
        <rFont val="맑은 고딕"/>
        <family val="2"/>
        <charset val="129"/>
        <scheme val="minor"/>
      </rPr>
      <t xml:space="preserve"> : CVE 취약점의 심각도를 나타내는 수치입니다. CVE 취약점 중 CVSS score가 할당되지 않은 취약점은 None으로 표시 됩니다.
</t>
    </r>
    <r>
      <rPr>
        <b/>
        <sz val="11"/>
        <color rgb="FF0100FF"/>
        <rFont val="맑은 고딕"/>
        <family val="3"/>
        <charset val="129"/>
      </rPr>
      <t>* KEV (Known Exploited Vulnerabilities)</t>
    </r>
    <r>
      <rPr>
        <sz val="11"/>
        <color theme="1"/>
        <rFont val="맑은 고딕"/>
        <family val="2"/>
        <charset val="129"/>
        <scheme val="minor"/>
      </rPr>
      <t xml:space="preserve"> : </t>
    </r>
    <r>
      <rPr>
        <b/>
        <sz val="11"/>
        <color rgb="FFFF0000"/>
        <rFont val="맑은 고딕"/>
        <family val="3"/>
        <charset val="129"/>
      </rPr>
      <t>실제 공격에서 악용되고 있음이 확인된 보안 취약점</t>
    </r>
    <r>
      <rPr>
        <sz val="11"/>
        <color theme="1"/>
        <rFont val="맑은 고딕"/>
        <family val="2"/>
        <charset val="129"/>
        <scheme val="minor"/>
      </rPr>
      <t xml:space="preserve"> 을 의미합니다.
</t>
    </r>
    <r>
      <rPr>
        <b/>
        <sz val="11"/>
        <color rgb="FF0100FF"/>
        <rFont val="맑은 고딕"/>
        <family val="3"/>
        <charset val="129"/>
      </rPr>
      <t>* EPSS Score (Exploit Prediction Scoring System)</t>
    </r>
    <r>
      <rPr>
        <sz val="11"/>
        <color theme="1"/>
        <rFont val="맑은 고딕"/>
        <family val="2"/>
        <charset val="129"/>
        <scheme val="minor"/>
      </rPr>
      <t xml:space="preserve"> : FIRST에서 제공하는 취약점으로 </t>
    </r>
    <r>
      <rPr>
        <b/>
        <sz val="11"/>
        <color rgb="FFFF0000"/>
        <rFont val="맑은 고딕"/>
        <family val="3"/>
        <charset val="129"/>
      </rPr>
      <t xml:space="preserve">30일 이내 발생될 수 있는 침해사고 확률을 0~1 사이의 수치로 표현하며, 1에 가까울 수록 위험도가 높습니다.
</t>
    </r>
    <r>
      <rPr>
        <b/>
        <sz val="11"/>
        <rFont val="맑은 고딕"/>
        <family val="3"/>
        <charset val="129"/>
      </rPr>
      <t>* CWE</t>
    </r>
    <r>
      <rPr>
        <sz val="11"/>
        <color theme="1"/>
        <rFont val="맑은 고딕"/>
        <family val="2"/>
        <charset val="129"/>
        <scheme val="minor"/>
      </rPr>
      <t xml:space="preserve"> : 취약점의 원인이 되는 </t>
    </r>
    <r>
      <rPr>
        <b/>
        <sz val="11"/>
        <color rgb="FF0100FF"/>
        <rFont val="맑은 고딕"/>
        <family val="3"/>
        <charset val="129"/>
      </rPr>
      <t>보안 약점명</t>
    </r>
  </si>
  <si>
    <t>commons-codec:commons-codec</t>
    <phoneticPr fontId="1" type="noConversion"/>
  </si>
  <si>
    <t>org.apache.logging.log4j:log4j-api</t>
    <phoneticPr fontId="1" type="noConversion"/>
  </si>
  <si>
    <t>org.apache.logging.log4j:log4j-api-test</t>
    <phoneticPr fontId="1" type="noConversion"/>
  </si>
  <si>
    <t>org.apache.logging.log4j:log4j-appserver</t>
    <phoneticPr fontId="1" type="noConversion"/>
  </si>
  <si>
    <t>org.apache.logging.log4j:log4j-cassandra</t>
    <phoneticPr fontId="1" type="noConversion"/>
  </si>
  <si>
    <t>org.apache.logging.log4j:log4j-core-test</t>
    <phoneticPr fontId="1" type="noConversion"/>
  </si>
  <si>
    <t>org.apache.logging.log4j:log4j-couchdb</t>
    <phoneticPr fontId="1" type="noConversion"/>
  </si>
  <si>
    <t>org.apache.logging.log4j:log4j-docker</t>
    <phoneticPr fontId="1" type="noConversion"/>
  </si>
  <si>
    <t>org.apache.logging.log4j:log4j-jdbc-dbcp2</t>
    <phoneticPr fontId="1" type="noConversion"/>
  </si>
  <si>
    <t>org.apache.logging.log4j:log4j-jpl</t>
    <phoneticPr fontId="1" type="noConversion"/>
  </si>
  <si>
    <t>org.apache.logging.log4j:log4j-jpa</t>
    <phoneticPr fontId="1" type="noConversion"/>
  </si>
  <si>
    <t>org.apache.logging.log4j:log4j-jul</t>
    <phoneticPr fontId="1" type="noConversion"/>
  </si>
  <si>
    <t>org.apache.logging.log4j:log4j-jakarta-jms</t>
    <phoneticPr fontId="1" type="noConversion"/>
  </si>
  <si>
    <t>org.apache.logging.log4j:log4j-jakarta-smtp</t>
    <phoneticPr fontId="1" type="noConversion"/>
  </si>
  <si>
    <t>org.apache.logging.log4j:log4j-jakarta-web</t>
    <phoneticPr fontId="1" type="noConversion"/>
  </si>
  <si>
    <t>org.apache.logging.log4j:log4j-layout-template-json</t>
    <phoneticPr fontId="1" type="noConversion"/>
  </si>
  <si>
    <t>org.apache.logging.log4j:log4j-mongodb</t>
    <phoneticPr fontId="1" type="noConversion"/>
  </si>
  <si>
    <t>org.apache.logging.log4j:log4j-mongodb4</t>
    <phoneticPr fontId="1" type="noConversion"/>
  </si>
  <si>
    <t>org.apache.logging.log4j:log4j-slf4j2-impl</t>
    <phoneticPr fontId="1" type="noConversion"/>
  </si>
  <si>
    <t>org.apache.logging.log4j:log4j-slf4j-impl</t>
    <phoneticPr fontId="1" type="noConversion"/>
  </si>
  <si>
    <t>org.apache.logging.log4j:log4j-spring-boot</t>
    <phoneticPr fontId="1" type="noConversion"/>
  </si>
  <si>
    <t>org.apache.logging.log4j:log4j-spring-cloud-config-client</t>
    <phoneticPr fontId="1" type="noConversion"/>
  </si>
  <si>
    <t>org.apache.logging.log4j:log4j-iostreams</t>
    <phoneticPr fontId="1" type="noConversion"/>
  </si>
  <si>
    <t>org.apache.logging.log4j:log4j-taglib</t>
    <phoneticPr fontId="1" type="noConversion"/>
  </si>
  <si>
    <t>org.apache.logging.log4j:log4j-web</t>
    <phoneticPr fontId="1" type="noConversion"/>
  </si>
  <si>
    <t>org.apache.logging.log4j:log4j-to-jul</t>
    <phoneticPr fontId="1" type="noConversion"/>
  </si>
  <si>
    <t>org.apache.logging.log4j:log4j-to-slf4j</t>
    <phoneticPr fontId="1" type="noConversion"/>
  </si>
  <si>
    <t>javax.servlet:javax.servlet-api</t>
    <phoneticPr fontId="1" type="noConversion"/>
  </si>
  <si>
    <t>org.apache.logging.log4j:log4j-jcl</t>
    <phoneticPr fontId="1" type="noConversion"/>
  </si>
  <si>
    <t>org.apache.logging.log4j:log4j-1.2-api</t>
    <phoneticPr fontId="1" type="noConversion"/>
  </si>
  <si>
    <t>com.warrenstrange:googleauth</t>
    <phoneticPr fontId="1" type="noConversion"/>
  </si>
  <si>
    <t>@buttercup/importer</t>
    <phoneticPr fontId="1" type="noConversion"/>
  </si>
  <si>
    <t>org.apache.kafka:kafka-clients</t>
    <phoneticPr fontId="1" type="noConversion"/>
  </si>
  <si>
    <t>org.jctools:jctools-core</t>
    <phoneticPr fontId="1" type="noConversion"/>
  </si>
  <si>
    <t>org.jspecify:jspecify</t>
    <phoneticPr fontId="1" type="noConversion"/>
  </si>
  <si>
    <t>org.osgi:org.osgi.core</t>
    <phoneticPr fontId="1" type="noConversion"/>
  </si>
  <si>
    <t>org.zeromq:jeromq</t>
    <phoneticPr fontId="1" type="noConversion"/>
  </si>
  <si>
    <t>2.25.0</t>
    <phoneticPr fontId="1" type="noConversion"/>
  </si>
  <si>
    <t>4.5.3</t>
    <phoneticPr fontId="1" type="noConversion"/>
  </si>
  <si>
    <t>4.0.1</t>
    <phoneticPr fontId="1" type="noConversion"/>
  </si>
  <si>
    <t>1.4.0</t>
    <phoneticPr fontId="1" type="noConversion"/>
  </si>
  <si>
    <t>8.4.0</t>
    <phoneticPr fontId="1" type="noConversion"/>
  </si>
  <si>
    <t>3.0.0</t>
    <phoneticPr fontId="1" type="noConversion"/>
  </si>
  <si>
    <t>-</t>
    <phoneticPr fontId="1" type="noConversion"/>
  </si>
  <si>
    <t>3.1.228</t>
    <phoneticPr fontId="1" type="noConversion"/>
  </si>
  <si>
    <t>org.apache.logging.log4j:log4j-core</t>
    <phoneticPr fontId="1" type="noConversion"/>
  </si>
  <si>
    <t>junit:junit</t>
    <phoneticPr fontId="1" type="noConversion"/>
  </si>
  <si>
    <t>org.apache.httpcomponents:httpclient</t>
    <phoneticPr fontId="1" type="noConversion"/>
  </si>
  <si>
    <t>Y</t>
    <phoneticPr fontId="1" type="noConversion"/>
  </si>
  <si>
    <t>4) 다만, 현재 사용 중인 버전에서는 총 24건의 CVE 취약점이 확인되었으므로, ‘조치 버전’ 가이드에 따라 검출 경로 전반에서 버전 업데이트를 수행해야 합니다.</t>
    <phoneticPr fontId="1" type="noConversion"/>
  </si>
  <si>
    <t>3) 본 컴포넌트는 Apache License 2.0으로 배포되며, 해당 라이선스는 소스코드 공개 의무(공개 배포 시)를 요구하지 않는 허용형 라이선스에 해당합니다.</t>
    <phoneticPr fontId="1" type="noConversion"/>
  </si>
  <si>
    <t>2) 해당 컴포넌트는 검출 경로에 해당하는 패키지 매니저 설정에 정의되어 실제 서비스에 포함되어 사용 중입니다.</t>
    <phoneticPr fontId="1" type="noConversion"/>
  </si>
  <si>
    <t>1) 본 프로젝트에서는 Maven을 통해 제공되는 com.google.guava:guava 14.0.1 컴포넌트를 사용하고 있습니다</t>
    <phoneticPr fontId="1" type="noConversion"/>
  </si>
  <si>
    <t>설명 :</t>
    <phoneticPr fontId="1" type="noConversion"/>
  </si>
  <si>
    <t>maven</t>
  </si>
  <si>
    <t>32.0.0-android 이상 버전으로 업데이트하세요</t>
    <phoneticPr fontId="1" type="noConversion"/>
  </si>
  <si>
    <t>egovframework:EgovAuthor, egovframework:EgovBoard, egovframework:EgovCmmnCode, egovframework:EgovLogin, egovframework:EgovLoginPolicy, egovframework:EgovMain, egovframework:EgovQuestionnaire, egovframework:GatewayServer</t>
  </si>
  <si>
    <t>None</t>
    <phoneticPr fontId="1" type="noConversion"/>
  </si>
  <si>
    <t>Y</t>
    <phoneticPr fontId="1" type="noConversion"/>
  </si>
  <si>
    <t>14.0.1</t>
  </si>
  <si>
    <t>com.google.guava:guava</t>
    <phoneticPr fontId="1" type="noConversion"/>
  </si>
  <si>
    <t>예시)</t>
  </si>
  <si>
    <t>③ '4. 부록(Dependencies Tree)' : 대상 서비스의 전체 오픈소스 의존성 구조를 계층 형태로 표현합니다.
본 자료는 의존성 관계 분석을 위한 참고자료 용도로 활용합니다.</t>
    <phoneticPr fontId="1" type="noConversion"/>
  </si>
  <si>
    <t>② '3. CVE 보안취약점' : 사용 중인 컴포넌트 버전에 존재하는 CVE 취약점 상세 정보를 제공합니다. 
해당 Sheet는 CVE 취약점별 개별 조치 수행 시 활용하거나, 취약점 분석을 위한 참고자료로 사용합니다.</t>
    <phoneticPr fontId="1" type="noConversion"/>
  </si>
  <si>
    <t>① '2. 컴포넌트 보안취약점' : 진단 대상 서비스에서 사용 중인 오픈소스 컴포넌트 및 버전 목록을 나타내며, 각 컴포넌트의 라이선스 정보, 위험도별 취약점 수, 검출 경로 등의 정보를 포함합니다.
본 Sheet를 기준으로 보안 조치 및 대응 작업을 수행하도록 합니다.</t>
    <phoneticPr fontId="1" type="noConversion"/>
  </si>
  <si>
    <t>결과보고서 상세(SBOM)' 보고서 Sheet 설명 및 검토 방법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</si>
</sst>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sz val="11"/>
      <color theme="1"/>
      <name val="맑은 고딕"/>
      <family val="3"/>
      <charset val="129"/>
      <scheme val="minor"/>
    </font>
    <font>
      <b/>
      <sz val="11"/>
      <color theme="1"/>
      <name val="맑은 고딕"/>
      <family val="3"/>
      <charset val="129"/>
      <scheme val="minor"/>
    </font>
    <font>
      <b/>
      <sz val="11"/>
      <name val="맑은 고딕"/>
      <family val="3"/>
      <charset val="129"/>
    </font>
    <font>
      <b/>
      <sz val="11"/>
      <color rgb="FF0100FF"/>
      <name val="맑은 고딕"/>
      <family val="3"/>
      <charset val="129"/>
    </font>
    <font>
      <b/>
      <sz val="11"/>
      <color rgb="FFFF0000"/>
      <name val="맑은 고딕"/>
      <family val="3"/>
      <charset val="129"/>
    </font>
    <font>
      <b/>
      <sz val="11"/>
      <color rgb="FFDB9700"/>
      <name val="맑은 고딕"/>
      <family val="3"/>
      <charset val="129"/>
    </font>
    <font>
      <b/>
      <sz val="11"/>
      <color rgb="FFFF0000"/>
      <name val="맑은 고딕"/>
      <family val="3"/>
      <charset val="129"/>
      <scheme val="minor"/>
    </font>
    <font>
      <sz val="11"/>
      <color rgb="FF000000"/>
      <name val="맑은 고딕"/>
      <family val="3"/>
      <charset val="129"/>
    </font>
    <font>
      <sz val="11"/>
      <name val="맑은 고딕"/>
      <family val="3"/>
      <charset val="129"/>
    </font>
    <font>
      <sz val="11"/>
      <color theme="1"/>
      <name val="맑은 고딕"/>
      <family val="2"/>
      <charset val="129"/>
      <scheme val="minor"/>
    </font>
    <font>
      <sz val="9"/>
      <color theme="1"/>
      <name val="맑은 고딕"/>
      <family val="2"/>
      <charset val="129"/>
      <scheme val="minor"/>
    </font>
    <font>
      <b/>
      <sz val="11"/>
      <color rgb="FFFFFF00"/>
      <name val="맑은 고딕"/>
      <family val="3"/>
      <charset val="129"/>
    </font>
    <font>
      <b/>
      <sz val="11"/>
      <color rgb="FF92D050"/>
      <name val="맑은 고딕"/>
      <family val="3"/>
      <charset val="129"/>
    </font>
    <font>
      <sz val="11"/>
      <color theme="1"/>
      <name val="맑은 고딕"/>
      <family val="3"/>
      <charset val="129"/>
    </font>
    <font>
      <b/>
      <sz val="11"/>
      <color rgb="FF000000"/>
      <name val="맑은 고딕"/>
      <family val="3"/>
      <charset val="129"/>
    </font>
  </fonts>
  <fills count="13">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FF"/>
        <bgColor rgb="FFFFFFFF"/>
      </patternFill>
    </fill>
    <fill>
      <patternFill patternType="solid">
        <fgColor rgb="FFFFFFFF"/>
        <bgColor rgb="FF000000"/>
      </patternFill>
    </fill>
    <fill>
      <patternFill patternType="solid">
        <fgColor rgb="FFE0FF00"/>
        <bgColor indexed="64"/>
      </patternFill>
    </fill>
    <fill>
      <patternFill patternType="solid">
        <fgColor rgb="FFFFD966"/>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indexed="64"/>
      </right>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auto="1"/>
      </right>
      <top style="medium">
        <color indexed="64"/>
      </top>
      <bottom style="thin">
        <color auto="1"/>
      </bottom>
      <diagonal/>
    </border>
    <border>
      <left/>
      <right/>
      <top style="thin">
        <color indexed="64"/>
      </top>
      <bottom/>
      <diagonal/>
    </border>
  </borders>
  <cellStyleXfs count="3">
    <xf numFmtId="0" fontId="0" fillId="0" borderId="0">
      <alignment vertical="center"/>
    </xf>
    <xf numFmtId="0" fontId="13" fillId="0" borderId="0">
      <alignment vertical="center"/>
    </xf>
    <xf numFmtId="0" fontId="3" fillId="0" borderId="0">
      <alignment vertical="center"/>
    </xf>
  </cellStyleXfs>
  <cellXfs count="71">
    <xf numFmtId="0" fontId="0" fillId="0" borderId="0" xfId="0">
      <alignment vertical="center"/>
    </xf>
    <xf numFmtId="0" fontId="0" fillId="0" borderId="0" xfId="0" applyAlignment="1">
      <alignment horizontal="center" vertical="center"/>
    </xf>
    <xf numFmtId="0" fontId="2" fillId="0" borderId="1" xfId="0" applyFont="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9"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0" borderId="0" xfId="0" applyAlignment="1"/>
    <xf numFmtId="0" fontId="10" fillId="0" borderId="4" xfId="0" applyFont="1" applyBorder="1" applyAlignment="1">
      <alignment horizontal="center" vertical="center"/>
    </xf>
    <xf numFmtId="0" fontId="10" fillId="0" borderId="4" xfId="0" applyFont="1" applyBorder="1" applyAlignment="1">
      <alignment horizontal="left" vertical="center" wrapText="1"/>
    </xf>
    <xf numFmtId="0" fontId="10" fillId="0" borderId="4" xfId="0" applyFont="1" applyBorder="1" applyAlignment="1">
      <alignment horizontal="center" vertical="center" wrapText="1"/>
    </xf>
    <xf numFmtId="0" fontId="11" fillId="9" borderId="4" xfId="0" applyFont="1" applyFill="1" applyBorder="1" applyAlignment="1">
      <alignment horizontal="center" vertical="center"/>
    </xf>
    <xf numFmtId="0" fontId="11" fillId="9" borderId="4" xfId="0" applyFont="1" applyFill="1" applyBorder="1" applyAlignment="1">
      <alignment horizontal="center" vertical="center" wrapText="1"/>
    </xf>
    <xf numFmtId="0" fontId="11" fillId="9" borderId="4" xfId="0" applyFont="1" applyFill="1" applyBorder="1" applyAlignment="1">
      <alignment horizontal="left" vertical="center" wrapText="1"/>
    </xf>
    <xf numFmtId="0" fontId="0" fillId="0" borderId="4" xfId="0" applyBorder="1" applyAlignment="1">
      <alignment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4" xfId="0" applyBorder="1" applyAlignment="1"/>
    <xf numFmtId="0" fontId="12" fillId="0" borderId="4" xfId="1" applyFont="1" applyBorder="1" applyAlignment="1">
      <alignment horizontal="left" vertical="center"/>
    </xf>
    <xf numFmtId="0" fontId="3" fillId="0" borderId="4" xfId="0" applyFont="1" applyBorder="1" applyAlignment="1">
      <alignment horizontal="center" vertical="center"/>
    </xf>
    <xf numFmtId="0" fontId="12" fillId="0" borderId="4" xfId="1" applyFont="1" applyBorder="1" applyAlignment="1">
      <alignment horizontal="left" vertical="center" wrapText="1"/>
    </xf>
    <xf numFmtId="0" fontId="3" fillId="0" borderId="4" xfId="0" applyFont="1" applyBorder="1" applyAlignment="1">
      <alignment vertical="center" wrapText="1"/>
    </xf>
    <xf numFmtId="0" fontId="3" fillId="0" borderId="4" xfId="1" applyFont="1" applyBorder="1" applyAlignment="1">
      <alignment horizontal="left" vertical="center" wrapText="1"/>
    </xf>
    <xf numFmtId="0" fontId="0" fillId="0" borderId="4" xfId="0" applyBorder="1">
      <alignment vertical="center"/>
    </xf>
    <xf numFmtId="0" fontId="0" fillId="5" borderId="4" xfId="0" applyFill="1" applyBorder="1" applyAlignment="1">
      <alignment horizontal="center" vertical="center"/>
    </xf>
    <xf numFmtId="0" fontId="4" fillId="2"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0" fillId="0" borderId="4" xfId="0" applyBorder="1" applyAlignment="1">
      <alignment wrapText="1"/>
    </xf>
    <xf numFmtId="0" fontId="0" fillId="0" borderId="4" xfId="0" applyBorder="1" applyAlignment="1">
      <alignment horizontal="left" vertical="center" wrapText="1"/>
    </xf>
    <xf numFmtId="0" fontId="0" fillId="0" borderId="4" xfId="0" applyBorder="1" applyAlignment="1">
      <alignment horizontal="left" vertical="center"/>
    </xf>
    <xf numFmtId="0" fontId="4" fillId="2" borderId="4" xfId="0" applyFont="1" applyFill="1" applyBorder="1" applyAlignment="1">
      <alignment horizontal="center" vertical="center" wrapText="1"/>
    </xf>
    <xf numFmtId="0" fontId="0" fillId="0" borderId="4" xfId="0" applyBorder="1" applyAlignment="1"/>
    <xf numFmtId="0" fontId="3" fillId="8" borderId="2" xfId="0" applyFont="1" applyFill="1" applyBorder="1" applyAlignment="1">
      <alignment horizontal="left" vertical="center" wrapText="1"/>
    </xf>
    <xf numFmtId="0" fontId="0" fillId="0" borderId="3" xfId="0" applyBorder="1" applyAlignment="1"/>
    <xf numFmtId="0" fontId="10" fillId="5" borderId="4" xfId="0" applyFont="1" applyFill="1" applyBorder="1" applyAlignment="1">
      <alignment horizontal="center" vertical="center" wrapText="1"/>
    </xf>
    <xf numFmtId="0" fontId="16" fillId="10" borderId="0" xfId="2" applyFont="1" applyFill="1">
      <alignment vertical="center"/>
    </xf>
    <xf numFmtId="0" fontId="10" fillId="10" borderId="0" xfId="2" applyFont="1" applyFill="1">
      <alignment vertical="center"/>
    </xf>
    <xf numFmtId="0" fontId="0" fillId="0" borderId="5" xfId="0" applyBorder="1" applyAlignment="1">
      <alignment horizontal="center" vertical="center"/>
    </xf>
    <xf numFmtId="0" fontId="10" fillId="0" borderId="6" xfId="0" applyFont="1" applyBorder="1" applyAlignment="1">
      <alignment horizontal="left" vertical="center" wrapText="1"/>
    </xf>
    <xf numFmtId="0" fontId="0" fillId="0" borderId="6" xfId="0" applyBorder="1" applyAlignment="1">
      <alignment horizontal="left" vertical="center" wrapText="1"/>
    </xf>
    <xf numFmtId="0" fontId="10" fillId="0" borderId="6" xfId="0" applyFont="1" applyBorder="1" applyAlignment="1">
      <alignment horizontal="center" vertical="center" wrapText="1"/>
    </xf>
    <xf numFmtId="0" fontId="0" fillId="0" borderId="6" xfId="0" applyBorder="1" applyAlignment="1">
      <alignment horizontal="center" vertical="center" wrapText="1"/>
    </xf>
    <xf numFmtId="0" fontId="10" fillId="11" borderId="6" xfId="0" applyFont="1" applyFill="1"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vertical="center" wrapText="1"/>
    </xf>
    <xf numFmtId="0" fontId="10" fillId="0" borderId="7" xfId="0" applyFont="1" applyBorder="1" applyAlignment="1">
      <alignment horizontal="center" vertical="center"/>
    </xf>
    <xf numFmtId="0" fontId="0" fillId="0" borderId="8" xfId="0" applyBorder="1" applyAlignment="1">
      <alignment horizontal="center"/>
    </xf>
    <xf numFmtId="0" fontId="0" fillId="0" borderId="9" xfId="0" applyBorder="1" applyAlignment="1"/>
    <xf numFmtId="0" fontId="0" fillId="0" borderId="9" xfId="0" applyBorder="1" applyAlignment="1">
      <alignment horizontal="center" wrapText="1"/>
    </xf>
    <xf numFmtId="0" fontId="4" fillId="2" borderId="10"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0" fillId="0" borderId="9" xfId="0" applyBorder="1" applyAlignment="1">
      <alignment horizontal="center"/>
    </xf>
    <xf numFmtId="0" fontId="0" fillId="0" borderId="9" xfId="0" applyBorder="1" applyAlignment="1">
      <alignment wrapText="1"/>
    </xf>
    <xf numFmtId="0" fontId="0" fillId="0" borderId="11" xfId="0" applyBorder="1" applyAlignment="1"/>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0" fillId="0" borderId="14" xfId="0" applyBorder="1" applyAlignment="1"/>
    <xf numFmtId="0" fontId="0" fillId="0" borderId="15" xfId="0" applyBorder="1" applyAlignment="1"/>
    <xf numFmtId="0" fontId="4" fillId="2" borderId="16" xfId="0" applyFont="1" applyFill="1" applyBorder="1" applyAlignment="1">
      <alignment horizontal="center" vertical="center" wrapText="1"/>
    </xf>
    <xf numFmtId="0" fontId="17" fillId="10" borderId="0" xfId="2" applyFont="1" applyFill="1">
      <alignment vertical="center"/>
    </xf>
    <xf numFmtId="0" fontId="16" fillId="10" borderId="17" xfId="2" applyFont="1" applyFill="1" applyBorder="1" applyAlignment="1">
      <alignment horizontal="left" vertical="center"/>
    </xf>
    <xf numFmtId="0" fontId="17" fillId="12" borderId="0" xfId="2" applyFont="1" applyFill="1" applyAlignment="1">
      <alignment horizontal="left" vertical="center" wrapText="1"/>
    </xf>
    <xf numFmtId="0" fontId="17" fillId="10" borderId="0" xfId="2" quotePrefix="1" applyFont="1" applyFill="1">
      <alignment vertical="center"/>
    </xf>
  </cellXfs>
  <cellStyles count="3">
    <cellStyle name="표준" xfId="0" builtinId="0"/>
    <cellStyle name="표준 2" xfId="1" xr:uid="{6AA0D111-AC4F-47D7-96AF-874F0CF23C5E}"/>
    <cellStyle name="표준 3" xfId="2" xr:uid="{CBC0BE04-90C7-4CAE-BB5B-B5CE54C86B78}"/>
  </cellStyles>
  <dxfs count="4">
    <dxf>
      <fill>
        <patternFill>
          <bgColor rgb="FF92D050"/>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2A330-E189-4B5E-AEB1-0B93ABBCE185}">
  <sheetPr>
    <tabColor theme="5" tint="-0.249977111117893"/>
  </sheetPr>
  <dimension ref="B2:R16"/>
  <sheetViews>
    <sheetView tabSelected="1" zoomScale="70" zoomScaleNormal="70" workbookViewId="0"/>
  </sheetViews>
  <sheetFormatPr defaultColWidth="8.69921875" defaultRowHeight="17.399999999999999" x14ac:dyDescent="0.4"/>
  <cols>
    <col min="1" max="1" width="2.19921875" style="39" customWidth="1"/>
    <col min="2" max="3" width="1.796875" style="39" customWidth="1"/>
    <col min="4" max="4" width="8.59765625" style="39" customWidth="1"/>
    <col min="5" max="5" width="21.69921875" style="39" bestFit="1" customWidth="1"/>
    <col min="6" max="6" width="7" style="39" bestFit="1" customWidth="1"/>
    <col min="7" max="7" width="11.296875" style="39" bestFit="1" customWidth="1"/>
    <col min="8" max="8" width="9.69921875" style="39" bestFit="1" customWidth="1"/>
    <col min="9" max="13" width="14.59765625" style="39" customWidth="1"/>
    <col min="14" max="14" width="25.69921875" style="39" customWidth="1"/>
    <col min="15" max="15" width="8.69921875" style="39" customWidth="1"/>
    <col min="16" max="16" width="114.5" style="39" bestFit="1" customWidth="1"/>
    <col min="17" max="17" width="20.8984375" style="39" bestFit="1" customWidth="1"/>
    <col min="18" max="18" width="15.296875" style="39" bestFit="1" customWidth="1"/>
    <col min="19" max="16384" width="8.69921875" style="39"/>
  </cols>
  <sheetData>
    <row r="2" spans="2:18" ht="33.75" customHeight="1" x14ac:dyDescent="0.4">
      <c r="B2" s="70" t="s">
        <v>176</v>
      </c>
      <c r="C2" s="67"/>
      <c r="D2" s="67"/>
      <c r="E2" s="67"/>
    </row>
    <row r="3" spans="2:18" ht="44.55" customHeight="1" x14ac:dyDescent="0.4">
      <c r="D3" s="69" t="s">
        <v>175</v>
      </c>
      <c r="E3" s="69"/>
      <c r="F3" s="69"/>
      <c r="G3" s="69"/>
      <c r="H3" s="69"/>
      <c r="I3" s="69"/>
      <c r="J3" s="69"/>
      <c r="K3" s="69"/>
      <c r="L3" s="69"/>
      <c r="M3" s="69"/>
      <c r="N3" s="69"/>
      <c r="O3" s="69"/>
    </row>
    <row r="4" spans="2:18" ht="44.55" customHeight="1" x14ac:dyDescent="0.4">
      <c r="D4" s="69" t="s">
        <v>174</v>
      </c>
      <c r="E4" s="69"/>
      <c r="F4" s="69"/>
      <c r="G4" s="69"/>
      <c r="H4" s="69"/>
      <c r="I4" s="69"/>
      <c r="J4" s="69"/>
      <c r="K4" s="69"/>
      <c r="L4" s="69"/>
      <c r="M4" s="69"/>
      <c r="N4" s="69"/>
      <c r="O4" s="69"/>
    </row>
    <row r="5" spans="2:18" ht="44.55" customHeight="1" x14ac:dyDescent="0.4">
      <c r="D5" s="69" t="s">
        <v>173</v>
      </c>
      <c r="E5" s="69"/>
      <c r="F5" s="69"/>
      <c r="G5" s="69"/>
      <c r="H5" s="69"/>
      <c r="I5" s="69"/>
      <c r="J5" s="69"/>
      <c r="K5" s="69"/>
      <c r="L5" s="69"/>
      <c r="M5" s="69"/>
      <c r="N5" s="69"/>
      <c r="O5" s="69"/>
    </row>
    <row r="6" spans="2:18" ht="21.75" customHeight="1" x14ac:dyDescent="0.4">
      <c r="D6" s="68"/>
      <c r="E6" s="68"/>
      <c r="F6" s="68"/>
      <c r="G6" s="68"/>
      <c r="H6" s="68"/>
    </row>
    <row r="7" spans="2:18" ht="18" thickBot="1" x14ac:dyDescent="0.45">
      <c r="C7" s="67" t="s">
        <v>172</v>
      </c>
      <c r="D7" s="67"/>
    </row>
    <row r="8" spans="2:18" x14ac:dyDescent="0.4">
      <c r="D8" s="66" t="s">
        <v>0</v>
      </c>
      <c r="E8" s="63" t="s">
        <v>1</v>
      </c>
      <c r="F8" s="63" t="s">
        <v>2</v>
      </c>
      <c r="G8" s="63" t="str">
        <f>"CVE 취약점
 "&amp; COUNTIF($D$4:$D$99365,"Y")&amp;"건"</f>
        <v>CVE 취약점
 0건</v>
      </c>
      <c r="H8" s="63" t="s">
        <v>3</v>
      </c>
      <c r="I8" s="65"/>
      <c r="J8" s="65"/>
      <c r="K8" s="65"/>
      <c r="L8" s="65"/>
      <c r="M8" s="64"/>
      <c r="N8" s="63" t="s">
        <v>4</v>
      </c>
      <c r="O8" s="64"/>
      <c r="P8" s="63" t="s">
        <v>5</v>
      </c>
      <c r="Q8" s="63" t="s">
        <v>6</v>
      </c>
      <c r="R8" s="62" t="s">
        <v>7</v>
      </c>
    </row>
    <row r="9" spans="2:18" ht="18" thickBot="1" x14ac:dyDescent="0.45">
      <c r="D9" s="61"/>
      <c r="E9" s="60"/>
      <c r="F9" s="59"/>
      <c r="G9" s="51"/>
      <c r="H9" s="53" t="str">
        <f>"합계 : "&amp;SUM($E$4:$E$999365)&amp;"건"</f>
        <v>합계 : 0건</v>
      </c>
      <c r="I9" s="58" t="str">
        <f>"Critical : 3건"</f>
        <v>Critical : 3건</v>
      </c>
      <c r="J9" s="57" t="str">
        <f>"High : 25건"</f>
        <v>High : 25건</v>
      </c>
      <c r="K9" s="56" t="str">
        <f>"Medium : 42건"</f>
        <v>Medium : 42건</v>
      </c>
      <c r="L9" s="55" t="str">
        <f>"Low : 8건"</f>
        <v>Low : 8건</v>
      </c>
      <c r="M9" s="54" t="str">
        <f>"미분류 : 110건"</f>
        <v>미분류 : 110건</v>
      </c>
      <c r="N9" s="53" t="s">
        <v>9</v>
      </c>
      <c r="O9" s="53" t="s">
        <v>10</v>
      </c>
      <c r="P9" s="52"/>
      <c r="Q9" s="51"/>
      <c r="R9" s="50"/>
    </row>
    <row r="10" spans="2:18" ht="38.25" customHeight="1" thickBot="1" x14ac:dyDescent="0.45">
      <c r="D10" s="49">
        <v>1</v>
      </c>
      <c r="E10" s="48" t="s">
        <v>171</v>
      </c>
      <c r="F10" s="47" t="s">
        <v>170</v>
      </c>
      <c r="G10" s="46" t="s">
        <v>169</v>
      </c>
      <c r="H10" s="44">
        <v>24</v>
      </c>
      <c r="I10" s="44">
        <v>0</v>
      </c>
      <c r="J10" s="44">
        <v>8</v>
      </c>
      <c r="K10" s="44">
        <v>8</v>
      </c>
      <c r="L10" s="44">
        <v>8</v>
      </c>
      <c r="M10" s="44">
        <v>0</v>
      </c>
      <c r="N10" s="45" t="s">
        <v>72</v>
      </c>
      <c r="O10" s="44" t="s">
        <v>168</v>
      </c>
      <c r="P10" s="43" t="s">
        <v>167</v>
      </c>
      <c r="Q10" s="42" t="s">
        <v>166</v>
      </c>
      <c r="R10" s="41" t="s">
        <v>165</v>
      </c>
    </row>
    <row r="11" spans="2:18" s="40" customFormat="1" x14ac:dyDescent="0.4"/>
    <row r="12" spans="2:18" x14ac:dyDescent="0.4">
      <c r="D12" s="39" t="s">
        <v>164</v>
      </c>
    </row>
    <row r="13" spans="2:18" x14ac:dyDescent="0.4">
      <c r="D13" s="39" t="s">
        <v>163</v>
      </c>
    </row>
    <row r="14" spans="2:18" x14ac:dyDescent="0.4">
      <c r="D14" s="39" t="s">
        <v>162</v>
      </c>
    </row>
    <row r="15" spans="2:18" x14ac:dyDescent="0.4">
      <c r="D15" s="39" t="s">
        <v>161</v>
      </c>
    </row>
    <row r="16" spans="2:18" x14ac:dyDescent="0.4">
      <c r="D16" s="39" t="s">
        <v>160</v>
      </c>
    </row>
  </sheetData>
  <mergeCells count="12">
    <mergeCell ref="H8:M8"/>
    <mergeCell ref="N8:O8"/>
    <mergeCell ref="P8:P9"/>
    <mergeCell ref="Q8:Q9"/>
    <mergeCell ref="R8:R9"/>
    <mergeCell ref="D3:O3"/>
    <mergeCell ref="D4:O4"/>
    <mergeCell ref="D5:O5"/>
    <mergeCell ref="D8:D9"/>
    <mergeCell ref="E8:E9"/>
    <mergeCell ref="F8:F9"/>
    <mergeCell ref="G8:G9"/>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Q1046458"/>
  <sheetViews>
    <sheetView zoomScale="70" zoomScaleNormal="70" zoomScaleSheetLayoutView="85" workbookViewId="0">
      <pane ySplit="2" topLeftCell="A3" activePane="bottomLeft" state="frozen"/>
      <selection pane="bottomLeft" sqref="A1:A2"/>
    </sheetView>
  </sheetViews>
  <sheetFormatPr defaultRowHeight="17.399999999999999" x14ac:dyDescent="0.4"/>
  <cols>
    <col min="1" max="1" width="10.59765625" style="1" customWidth="1"/>
    <col min="2" max="2" width="43.3984375" style="1" customWidth="1"/>
    <col min="3" max="3" width="20.69921875" style="1" customWidth="1"/>
    <col min="4" max="4" width="15.19921875" style="1" customWidth="1"/>
    <col min="5" max="5" width="15.59765625" style="1" customWidth="1"/>
    <col min="6" max="6" width="19.5" style="1" customWidth="1"/>
    <col min="7" max="7" width="19.296875" style="1" customWidth="1"/>
    <col min="8" max="8" width="22" style="1" customWidth="1"/>
    <col min="9" max="9" width="17.8984375" style="1" customWidth="1"/>
    <col min="10" max="10" width="17.296875" style="1" customWidth="1"/>
    <col min="11" max="11" width="32.59765625" style="1" customWidth="1"/>
    <col min="12" max="12" width="14.296875" style="1" customWidth="1"/>
    <col min="13" max="13" width="112.3984375" style="3" customWidth="1"/>
    <col min="14" max="14" width="61.296875" style="7" customWidth="1"/>
    <col min="15" max="15" width="25.5" style="7" customWidth="1"/>
    <col min="16" max="16" width="20.796875" style="7" customWidth="1"/>
    <col min="17" max="17" width="9.19921875" style="7" customWidth="1"/>
  </cols>
  <sheetData>
    <row r="1" spans="1:16" ht="16.95" customHeight="1" x14ac:dyDescent="0.4">
      <c r="A1" s="34" t="s">
        <v>0</v>
      </c>
      <c r="B1" s="34" t="s">
        <v>1</v>
      </c>
      <c r="C1" s="34" t="s">
        <v>2</v>
      </c>
      <c r="D1" s="34" t="str">
        <f>"CVE 취약점
 "&amp; COUNTIF($D$3:$D$99114,"Y")&amp;"건"</f>
        <v>CVE 취약점
 4건</v>
      </c>
      <c r="E1" s="34" t="s">
        <v>3</v>
      </c>
      <c r="F1" s="35"/>
      <c r="G1" s="35"/>
      <c r="H1" s="35"/>
      <c r="I1" s="35"/>
      <c r="J1" s="35"/>
      <c r="K1" s="34" t="s">
        <v>4</v>
      </c>
      <c r="L1" s="35"/>
      <c r="M1" s="34" t="s">
        <v>5</v>
      </c>
      <c r="N1" s="34" t="s">
        <v>6</v>
      </c>
      <c r="O1" s="34" t="s">
        <v>7</v>
      </c>
      <c r="P1" s="34" t="s">
        <v>8</v>
      </c>
    </row>
    <row r="2" spans="1:16" ht="16.95" customHeight="1" x14ac:dyDescent="0.4">
      <c r="A2" s="35"/>
      <c r="B2" s="35"/>
      <c r="C2" s="35"/>
      <c r="D2" s="35"/>
      <c r="E2" s="25" t="str">
        <f>"합계 : "&amp;SUM($E$3:$E$999114)&amp;"건"</f>
        <v>합계 : 9건</v>
      </c>
      <c r="F2" s="26" t="str">
        <f>"Critical : "&amp;SUM($F$3:$F$99114)&amp;"건"</f>
        <v>Critical : 0건</v>
      </c>
      <c r="G2" s="27" t="str">
        <f>"High : "&amp;SUM($G$3:$G$99114)&amp;"건"</f>
        <v>High : 0건</v>
      </c>
      <c r="H2" s="28" t="str">
        <f>"Medium : "&amp;SUM($H$3:$H$99114)&amp;"건"</f>
        <v>Medium : 9건</v>
      </c>
      <c r="I2" s="29" t="str">
        <f>"Low : "&amp;SUM($I$3:$I$99114)&amp;"건"</f>
        <v>Low : 0건</v>
      </c>
      <c r="J2" s="30" t="str">
        <f>"미분류 : "&amp;SUM($J$3:$J$99114)&amp;"건"</f>
        <v>미분류 : 0건</v>
      </c>
      <c r="K2" s="25" t="s">
        <v>9</v>
      </c>
      <c r="L2" s="25" t="s">
        <v>10</v>
      </c>
      <c r="M2" s="35"/>
      <c r="N2" s="35"/>
      <c r="O2" s="35"/>
      <c r="P2" s="35"/>
    </row>
    <row r="3" spans="1:16" ht="34.799999999999997" x14ac:dyDescent="0.4">
      <c r="A3" s="8">
        <v>1</v>
      </c>
      <c r="B3" s="14" t="s">
        <v>103</v>
      </c>
      <c r="C3" s="32" t="s">
        <v>148</v>
      </c>
      <c r="D3" s="38" t="s">
        <v>159</v>
      </c>
      <c r="E3" s="10">
        <v>6</v>
      </c>
      <c r="F3" s="10">
        <v>0</v>
      </c>
      <c r="G3" s="10">
        <v>0</v>
      </c>
      <c r="H3" s="10">
        <v>6</v>
      </c>
      <c r="I3" s="10">
        <v>0</v>
      </c>
      <c r="J3" s="10">
        <v>0</v>
      </c>
      <c r="K3" s="14" t="s">
        <v>16</v>
      </c>
      <c r="L3" s="15" t="s">
        <v>68</v>
      </c>
      <c r="M3" s="14" t="s">
        <v>37</v>
      </c>
      <c r="N3" s="9" t="s">
        <v>109</v>
      </c>
      <c r="O3" s="15" t="s">
        <v>77</v>
      </c>
      <c r="P3" s="15" t="s">
        <v>20</v>
      </c>
    </row>
    <row r="4" spans="1:16" ht="34.799999999999997" x14ac:dyDescent="0.4">
      <c r="A4" s="8">
        <v>2</v>
      </c>
      <c r="B4" s="18" t="s">
        <v>105</v>
      </c>
      <c r="C4" s="18">
        <v>4.12</v>
      </c>
      <c r="D4" s="38" t="s">
        <v>159</v>
      </c>
      <c r="E4" s="19">
        <v>1</v>
      </c>
      <c r="F4" s="19">
        <v>0</v>
      </c>
      <c r="G4" s="19">
        <v>0</v>
      </c>
      <c r="H4" s="19">
        <v>1</v>
      </c>
      <c r="I4" s="19">
        <v>0</v>
      </c>
      <c r="J4" s="19">
        <v>0</v>
      </c>
      <c r="K4" s="22" t="s">
        <v>74</v>
      </c>
      <c r="L4" s="19"/>
      <c r="M4" s="21" t="s">
        <v>66</v>
      </c>
      <c r="N4" s="31" t="s">
        <v>106</v>
      </c>
      <c r="O4" s="16" t="s">
        <v>77</v>
      </c>
      <c r="P4" s="16" t="s">
        <v>20</v>
      </c>
    </row>
    <row r="5" spans="1:16" ht="34.799999999999997" x14ac:dyDescent="0.4">
      <c r="A5" s="8">
        <v>3</v>
      </c>
      <c r="B5" s="18" t="s">
        <v>105</v>
      </c>
      <c r="C5" s="18">
        <v>4.1100000000000003</v>
      </c>
      <c r="D5" s="38" t="s">
        <v>159</v>
      </c>
      <c r="E5" s="19">
        <v>1</v>
      </c>
      <c r="F5" s="19">
        <v>0</v>
      </c>
      <c r="G5" s="19">
        <v>0</v>
      </c>
      <c r="H5" s="19">
        <v>1</v>
      </c>
      <c r="I5" s="19">
        <v>0</v>
      </c>
      <c r="J5" s="19">
        <v>0</v>
      </c>
      <c r="K5" s="22" t="s">
        <v>75</v>
      </c>
      <c r="L5" s="19"/>
      <c r="M5" s="21" t="s">
        <v>35</v>
      </c>
      <c r="N5" s="31" t="s">
        <v>106</v>
      </c>
      <c r="O5" s="16" t="s">
        <v>77</v>
      </c>
      <c r="P5" s="16" t="s">
        <v>20</v>
      </c>
    </row>
    <row r="6" spans="1:16" ht="16.95" customHeight="1" x14ac:dyDescent="0.4">
      <c r="A6" s="8">
        <v>4</v>
      </c>
      <c r="B6" s="18" t="s">
        <v>104</v>
      </c>
      <c r="C6" s="18" t="s">
        <v>149</v>
      </c>
      <c r="D6" s="38" t="s">
        <v>159</v>
      </c>
      <c r="E6" s="19">
        <v>1</v>
      </c>
      <c r="F6" s="19">
        <v>0</v>
      </c>
      <c r="G6" s="19">
        <v>0</v>
      </c>
      <c r="H6" s="19">
        <v>1</v>
      </c>
      <c r="I6" s="19">
        <v>0</v>
      </c>
      <c r="J6" s="19">
        <v>0</v>
      </c>
      <c r="K6" s="22" t="s">
        <v>72</v>
      </c>
      <c r="L6" s="19"/>
      <c r="M6" s="21" t="s">
        <v>66</v>
      </c>
      <c r="N6" s="31" t="s">
        <v>107</v>
      </c>
      <c r="O6" s="16" t="s">
        <v>77</v>
      </c>
      <c r="P6" s="16" t="s">
        <v>20</v>
      </c>
    </row>
    <row r="7" spans="1:16" x14ac:dyDescent="0.4">
      <c r="A7" s="8">
        <v>5</v>
      </c>
      <c r="B7" s="14" t="s">
        <v>111</v>
      </c>
      <c r="C7" s="32">
        <v>1.9</v>
      </c>
      <c r="D7" s="10"/>
      <c r="E7" s="10"/>
      <c r="F7" s="19">
        <v>0</v>
      </c>
      <c r="G7" s="19">
        <v>0</v>
      </c>
      <c r="H7" s="10">
        <v>0</v>
      </c>
      <c r="I7" s="19">
        <v>0</v>
      </c>
      <c r="J7" s="19">
        <v>0</v>
      </c>
      <c r="K7" s="14" t="s">
        <v>16</v>
      </c>
      <c r="L7" s="15" t="s">
        <v>68</v>
      </c>
      <c r="M7" s="14" t="s">
        <v>35</v>
      </c>
      <c r="N7" s="9"/>
      <c r="O7" s="15" t="s">
        <v>77</v>
      </c>
      <c r="P7" s="15" t="s">
        <v>20</v>
      </c>
    </row>
    <row r="8" spans="1:16" ht="34.799999999999997" x14ac:dyDescent="0.4">
      <c r="A8" s="8">
        <v>6</v>
      </c>
      <c r="B8" s="14" t="s">
        <v>112</v>
      </c>
      <c r="C8" s="32" t="s">
        <v>148</v>
      </c>
      <c r="D8" s="10"/>
      <c r="E8" s="10"/>
      <c r="F8" s="19">
        <v>0</v>
      </c>
      <c r="G8" s="19">
        <v>0</v>
      </c>
      <c r="H8" s="10">
        <v>0</v>
      </c>
      <c r="I8" s="19">
        <v>0</v>
      </c>
      <c r="J8" s="19">
        <v>0</v>
      </c>
      <c r="K8" s="14" t="s">
        <v>16</v>
      </c>
      <c r="L8" s="15" t="s">
        <v>68</v>
      </c>
      <c r="M8" s="14" t="s">
        <v>36</v>
      </c>
      <c r="N8" s="9"/>
      <c r="O8" s="15" t="s">
        <v>77</v>
      </c>
      <c r="P8" s="15" t="s">
        <v>20</v>
      </c>
    </row>
    <row r="9" spans="1:16" x14ac:dyDescent="0.4">
      <c r="A9" s="8">
        <v>7</v>
      </c>
      <c r="B9" s="14" t="s">
        <v>113</v>
      </c>
      <c r="C9" s="32" t="s">
        <v>148</v>
      </c>
      <c r="D9" s="10"/>
      <c r="E9" s="10"/>
      <c r="F9" s="19">
        <v>0</v>
      </c>
      <c r="G9" s="19">
        <v>0</v>
      </c>
      <c r="H9" s="10">
        <v>0</v>
      </c>
      <c r="I9" s="19">
        <v>0</v>
      </c>
      <c r="J9" s="19">
        <v>0</v>
      </c>
      <c r="K9" s="14" t="s">
        <v>16</v>
      </c>
      <c r="L9" s="15" t="s">
        <v>68</v>
      </c>
      <c r="M9" s="14" t="s">
        <v>38</v>
      </c>
      <c r="N9" s="9"/>
      <c r="O9" s="15" t="s">
        <v>77</v>
      </c>
      <c r="P9" s="15" t="s">
        <v>20</v>
      </c>
    </row>
    <row r="10" spans="1:16" x14ac:dyDescent="0.4">
      <c r="A10" s="8">
        <v>8</v>
      </c>
      <c r="B10" s="14" t="s">
        <v>114</v>
      </c>
      <c r="C10" s="32" t="s">
        <v>148</v>
      </c>
      <c r="D10" s="10"/>
      <c r="E10" s="10"/>
      <c r="F10" s="19">
        <v>0</v>
      </c>
      <c r="G10" s="19">
        <v>0</v>
      </c>
      <c r="H10" s="10">
        <v>0</v>
      </c>
      <c r="I10" s="19">
        <v>0</v>
      </c>
      <c r="J10" s="19">
        <v>0</v>
      </c>
      <c r="K10" s="14" t="s">
        <v>16</v>
      </c>
      <c r="L10" s="15" t="s">
        <v>68</v>
      </c>
      <c r="M10" s="14" t="s">
        <v>39</v>
      </c>
      <c r="N10" s="9"/>
      <c r="O10" s="15" t="s">
        <v>77</v>
      </c>
      <c r="P10" s="15" t="s">
        <v>20</v>
      </c>
    </row>
    <row r="11" spans="1:16" x14ac:dyDescent="0.4">
      <c r="A11" s="8">
        <v>9</v>
      </c>
      <c r="B11" s="14" t="s">
        <v>115</v>
      </c>
      <c r="C11" s="32" t="s">
        <v>148</v>
      </c>
      <c r="D11" s="10"/>
      <c r="E11" s="10"/>
      <c r="F11" s="19">
        <v>0</v>
      </c>
      <c r="G11" s="19">
        <v>0</v>
      </c>
      <c r="H11" s="10">
        <v>0</v>
      </c>
      <c r="I11" s="19">
        <v>0</v>
      </c>
      <c r="J11" s="19">
        <v>0</v>
      </c>
      <c r="K11" s="14" t="s">
        <v>16</v>
      </c>
      <c r="L11" s="15" t="s">
        <v>68</v>
      </c>
      <c r="M11" s="14" t="s">
        <v>40</v>
      </c>
      <c r="N11" s="9"/>
      <c r="O11" s="15" t="s">
        <v>77</v>
      </c>
      <c r="P11" s="15" t="s">
        <v>20</v>
      </c>
    </row>
    <row r="12" spans="1:16" x14ac:dyDescent="0.4">
      <c r="A12" s="8">
        <v>10</v>
      </c>
      <c r="B12" s="14" t="s">
        <v>116</v>
      </c>
      <c r="C12" s="32" t="s">
        <v>148</v>
      </c>
      <c r="D12" s="10"/>
      <c r="E12" s="10"/>
      <c r="F12" s="19">
        <v>0</v>
      </c>
      <c r="G12" s="19">
        <v>0</v>
      </c>
      <c r="H12" s="10">
        <v>0</v>
      </c>
      <c r="I12" s="19">
        <v>0</v>
      </c>
      <c r="J12" s="19">
        <v>0</v>
      </c>
      <c r="K12" s="14" t="s">
        <v>16</v>
      </c>
      <c r="L12" s="15" t="s">
        <v>68</v>
      </c>
      <c r="M12" s="14" t="s">
        <v>41</v>
      </c>
      <c r="N12" s="9"/>
      <c r="O12" s="15" t="s">
        <v>77</v>
      </c>
      <c r="P12" s="15" t="s">
        <v>20</v>
      </c>
    </row>
    <row r="13" spans="1:16" x14ac:dyDescent="0.4">
      <c r="A13" s="8">
        <v>11</v>
      </c>
      <c r="B13" s="14" t="s">
        <v>117</v>
      </c>
      <c r="C13" s="32" t="s">
        <v>148</v>
      </c>
      <c r="D13" s="10"/>
      <c r="E13" s="10"/>
      <c r="F13" s="19">
        <v>0</v>
      </c>
      <c r="G13" s="19">
        <v>0</v>
      </c>
      <c r="H13" s="10">
        <v>0</v>
      </c>
      <c r="I13" s="19">
        <v>0</v>
      </c>
      <c r="J13" s="19">
        <v>0</v>
      </c>
      <c r="K13" s="14" t="s">
        <v>16</v>
      </c>
      <c r="L13" s="15" t="s">
        <v>68</v>
      </c>
      <c r="M13" s="14" t="s">
        <v>42</v>
      </c>
      <c r="N13" s="9"/>
      <c r="O13" s="15" t="s">
        <v>77</v>
      </c>
      <c r="P13" s="15" t="s">
        <v>20</v>
      </c>
    </row>
    <row r="14" spans="1:16" x14ac:dyDescent="0.4">
      <c r="A14" s="8">
        <v>12</v>
      </c>
      <c r="B14" s="14" t="s">
        <v>118</v>
      </c>
      <c r="C14" s="32" t="s">
        <v>148</v>
      </c>
      <c r="D14" s="10"/>
      <c r="E14" s="10"/>
      <c r="F14" s="19">
        <v>0</v>
      </c>
      <c r="G14" s="19">
        <v>0</v>
      </c>
      <c r="H14" s="10">
        <v>0</v>
      </c>
      <c r="I14" s="19">
        <v>0</v>
      </c>
      <c r="J14" s="19">
        <v>0</v>
      </c>
      <c r="K14" s="14" t="s">
        <v>16</v>
      </c>
      <c r="L14" s="15" t="s">
        <v>68</v>
      </c>
      <c r="M14" s="14" t="s">
        <v>43</v>
      </c>
      <c r="N14" s="9"/>
      <c r="O14" s="15" t="s">
        <v>77</v>
      </c>
      <c r="P14" s="15" t="s">
        <v>20</v>
      </c>
    </row>
    <row r="15" spans="1:16" x14ac:dyDescent="0.4">
      <c r="A15" s="8">
        <v>13</v>
      </c>
      <c r="B15" s="14" t="s">
        <v>119</v>
      </c>
      <c r="C15" s="32" t="s">
        <v>148</v>
      </c>
      <c r="D15" s="10"/>
      <c r="E15" s="10"/>
      <c r="F15" s="19">
        <v>0</v>
      </c>
      <c r="G15" s="19">
        <v>0</v>
      </c>
      <c r="H15" s="10">
        <v>0</v>
      </c>
      <c r="I15" s="19">
        <v>0</v>
      </c>
      <c r="J15" s="19">
        <v>0</v>
      </c>
      <c r="K15" s="14" t="s">
        <v>16</v>
      </c>
      <c r="L15" s="15" t="s">
        <v>68</v>
      </c>
      <c r="M15" s="14" t="s">
        <v>44</v>
      </c>
      <c r="N15" s="9"/>
      <c r="O15" s="15" t="s">
        <v>77</v>
      </c>
      <c r="P15" s="15" t="s">
        <v>20</v>
      </c>
    </row>
    <row r="16" spans="1:16" x14ac:dyDescent="0.4">
      <c r="A16" s="8">
        <v>14</v>
      </c>
      <c r="B16" s="14" t="s">
        <v>120</v>
      </c>
      <c r="C16" s="32" t="s">
        <v>148</v>
      </c>
      <c r="D16" s="10"/>
      <c r="E16" s="10"/>
      <c r="F16" s="19">
        <v>0</v>
      </c>
      <c r="G16" s="19">
        <v>0</v>
      </c>
      <c r="H16" s="10">
        <v>0</v>
      </c>
      <c r="I16" s="19">
        <v>0</v>
      </c>
      <c r="J16" s="19">
        <v>0</v>
      </c>
      <c r="K16" s="14" t="s">
        <v>16</v>
      </c>
      <c r="L16" s="15" t="s">
        <v>68</v>
      </c>
      <c r="M16" s="14" t="s">
        <v>45</v>
      </c>
      <c r="N16" s="9"/>
      <c r="O16" s="15" t="s">
        <v>77</v>
      </c>
      <c r="P16" s="15" t="s">
        <v>20</v>
      </c>
    </row>
    <row r="17" spans="1:16" x14ac:dyDescent="0.4">
      <c r="A17" s="8">
        <v>15</v>
      </c>
      <c r="B17" s="14" t="s">
        <v>121</v>
      </c>
      <c r="C17" s="32" t="s">
        <v>148</v>
      </c>
      <c r="D17" s="10"/>
      <c r="E17" s="10"/>
      <c r="F17" s="19">
        <v>0</v>
      </c>
      <c r="G17" s="19">
        <v>0</v>
      </c>
      <c r="H17" s="10">
        <v>0</v>
      </c>
      <c r="I17" s="19">
        <v>0</v>
      </c>
      <c r="J17" s="19">
        <v>0</v>
      </c>
      <c r="K17" s="14" t="s">
        <v>16</v>
      </c>
      <c r="L17" s="15" t="s">
        <v>68</v>
      </c>
      <c r="M17" s="14" t="s">
        <v>46</v>
      </c>
      <c r="N17" s="9"/>
      <c r="O17" s="15" t="s">
        <v>77</v>
      </c>
      <c r="P17" s="15" t="s">
        <v>20</v>
      </c>
    </row>
    <row r="18" spans="1:16" x14ac:dyDescent="0.4">
      <c r="A18" s="8">
        <v>16</v>
      </c>
      <c r="B18" s="14" t="s">
        <v>122</v>
      </c>
      <c r="C18" s="32" t="s">
        <v>148</v>
      </c>
      <c r="D18" s="10"/>
      <c r="E18" s="10"/>
      <c r="F18" s="19">
        <v>0</v>
      </c>
      <c r="G18" s="19">
        <v>0</v>
      </c>
      <c r="H18" s="10">
        <v>0</v>
      </c>
      <c r="I18" s="19">
        <v>0</v>
      </c>
      <c r="J18" s="19">
        <v>0</v>
      </c>
      <c r="K18" s="14" t="s">
        <v>16</v>
      </c>
      <c r="L18" s="15" t="s">
        <v>68</v>
      </c>
      <c r="M18" s="14" t="s">
        <v>47</v>
      </c>
      <c r="N18" s="9"/>
      <c r="O18" s="15" t="s">
        <v>77</v>
      </c>
      <c r="P18" s="15" t="s">
        <v>20</v>
      </c>
    </row>
    <row r="19" spans="1:16" x14ac:dyDescent="0.4">
      <c r="A19" s="8">
        <v>17</v>
      </c>
      <c r="B19" s="14" t="s">
        <v>123</v>
      </c>
      <c r="C19" s="32" t="s">
        <v>148</v>
      </c>
      <c r="D19" s="10"/>
      <c r="E19" s="10"/>
      <c r="F19" s="19">
        <v>0</v>
      </c>
      <c r="G19" s="19">
        <v>0</v>
      </c>
      <c r="H19" s="10">
        <v>0</v>
      </c>
      <c r="I19" s="19">
        <v>0</v>
      </c>
      <c r="J19" s="19">
        <v>0</v>
      </c>
      <c r="K19" s="14" t="s">
        <v>16</v>
      </c>
      <c r="L19" s="15" t="s">
        <v>68</v>
      </c>
      <c r="M19" s="14" t="s">
        <v>48</v>
      </c>
      <c r="N19" s="9"/>
      <c r="O19" s="15" t="s">
        <v>77</v>
      </c>
      <c r="P19" s="15" t="s">
        <v>20</v>
      </c>
    </row>
    <row r="20" spans="1:16" x14ac:dyDescent="0.4">
      <c r="A20" s="8">
        <v>18</v>
      </c>
      <c r="B20" s="14" t="s">
        <v>124</v>
      </c>
      <c r="C20" s="32" t="s">
        <v>148</v>
      </c>
      <c r="D20" s="10"/>
      <c r="E20" s="10"/>
      <c r="F20" s="19">
        <v>0</v>
      </c>
      <c r="G20" s="19">
        <v>0</v>
      </c>
      <c r="H20" s="10">
        <v>0</v>
      </c>
      <c r="I20" s="19">
        <v>0</v>
      </c>
      <c r="J20" s="19">
        <v>0</v>
      </c>
      <c r="K20" s="14" t="s">
        <v>16</v>
      </c>
      <c r="L20" s="15" t="s">
        <v>68</v>
      </c>
      <c r="M20" s="14" t="s">
        <v>49</v>
      </c>
      <c r="N20" s="9"/>
      <c r="O20" s="15" t="s">
        <v>77</v>
      </c>
      <c r="P20" s="15" t="s">
        <v>20</v>
      </c>
    </row>
    <row r="21" spans="1:16" x14ac:dyDescent="0.4">
      <c r="A21" s="8">
        <v>19</v>
      </c>
      <c r="B21" s="14" t="s">
        <v>125</v>
      </c>
      <c r="C21" s="32" t="s">
        <v>148</v>
      </c>
      <c r="D21" s="10"/>
      <c r="E21" s="10"/>
      <c r="F21" s="19">
        <v>0</v>
      </c>
      <c r="G21" s="19">
        <v>0</v>
      </c>
      <c r="H21" s="10">
        <v>0</v>
      </c>
      <c r="I21" s="19">
        <v>0</v>
      </c>
      <c r="J21" s="19">
        <v>0</v>
      </c>
      <c r="K21" s="14" t="s">
        <v>16</v>
      </c>
      <c r="L21" s="15" t="s">
        <v>68</v>
      </c>
      <c r="M21" s="14" t="s">
        <v>50</v>
      </c>
      <c r="N21" s="9"/>
      <c r="O21" s="15" t="s">
        <v>77</v>
      </c>
      <c r="P21" s="15" t="s">
        <v>20</v>
      </c>
    </row>
    <row r="22" spans="1:16" x14ac:dyDescent="0.4">
      <c r="A22" s="8">
        <v>20</v>
      </c>
      <c r="B22" s="14" t="s">
        <v>126</v>
      </c>
      <c r="C22" s="32" t="s">
        <v>148</v>
      </c>
      <c r="D22" s="10"/>
      <c r="E22" s="10"/>
      <c r="F22" s="19">
        <v>0</v>
      </c>
      <c r="G22" s="19">
        <v>0</v>
      </c>
      <c r="H22" s="10">
        <v>0</v>
      </c>
      <c r="I22" s="19">
        <v>0</v>
      </c>
      <c r="J22" s="19">
        <v>0</v>
      </c>
      <c r="K22" s="14" t="s">
        <v>16</v>
      </c>
      <c r="L22" s="15" t="s">
        <v>68</v>
      </c>
      <c r="M22" s="14" t="s">
        <v>51</v>
      </c>
      <c r="N22" s="9"/>
      <c r="O22" s="15" t="s">
        <v>77</v>
      </c>
      <c r="P22" s="15" t="s">
        <v>20</v>
      </c>
    </row>
    <row r="23" spans="1:16" ht="34.799999999999997" x14ac:dyDescent="0.4">
      <c r="A23" s="8">
        <v>21</v>
      </c>
      <c r="B23" s="14" t="s">
        <v>127</v>
      </c>
      <c r="C23" s="32" t="s">
        <v>148</v>
      </c>
      <c r="D23" s="10"/>
      <c r="E23" s="10"/>
      <c r="F23" s="19">
        <v>0</v>
      </c>
      <c r="G23" s="19">
        <v>0</v>
      </c>
      <c r="H23" s="10">
        <v>0</v>
      </c>
      <c r="I23" s="19">
        <v>0</v>
      </c>
      <c r="J23" s="19">
        <v>0</v>
      </c>
      <c r="K23" s="14" t="s">
        <v>16</v>
      </c>
      <c r="L23" s="15" t="s">
        <v>68</v>
      </c>
      <c r="M23" s="14" t="s">
        <v>52</v>
      </c>
      <c r="N23" s="9"/>
      <c r="O23" s="15" t="s">
        <v>77</v>
      </c>
      <c r="P23" s="15" t="s">
        <v>20</v>
      </c>
    </row>
    <row r="24" spans="1:16" x14ac:dyDescent="0.4">
      <c r="A24" s="8">
        <v>22</v>
      </c>
      <c r="B24" s="14" t="s">
        <v>128</v>
      </c>
      <c r="C24" s="32" t="s">
        <v>148</v>
      </c>
      <c r="D24" s="10"/>
      <c r="E24" s="10"/>
      <c r="F24" s="19">
        <v>0</v>
      </c>
      <c r="G24" s="19">
        <v>0</v>
      </c>
      <c r="H24" s="10">
        <v>0</v>
      </c>
      <c r="I24" s="19">
        <v>0</v>
      </c>
      <c r="J24" s="19">
        <v>0</v>
      </c>
      <c r="K24" s="14" t="s">
        <v>16</v>
      </c>
      <c r="L24" s="15" t="s">
        <v>68</v>
      </c>
      <c r="M24" s="14" t="s">
        <v>53</v>
      </c>
      <c r="N24" s="9"/>
      <c r="O24" s="15" t="s">
        <v>77</v>
      </c>
      <c r="P24" s="15" t="s">
        <v>20</v>
      </c>
    </row>
    <row r="25" spans="1:16" x14ac:dyDescent="0.4">
      <c r="A25" s="8">
        <v>23</v>
      </c>
      <c r="B25" s="14" t="s">
        <v>129</v>
      </c>
      <c r="C25" s="32" t="s">
        <v>148</v>
      </c>
      <c r="D25" s="10"/>
      <c r="E25" s="10"/>
      <c r="F25" s="19">
        <v>0</v>
      </c>
      <c r="G25" s="19">
        <v>0</v>
      </c>
      <c r="H25" s="10">
        <v>0</v>
      </c>
      <c r="I25" s="19">
        <v>0</v>
      </c>
      <c r="J25" s="19">
        <v>0</v>
      </c>
      <c r="K25" s="14" t="s">
        <v>16</v>
      </c>
      <c r="L25" s="15" t="s">
        <v>68</v>
      </c>
      <c r="M25" s="14" t="s">
        <v>54</v>
      </c>
      <c r="N25" s="9"/>
      <c r="O25" s="15" t="s">
        <v>77</v>
      </c>
      <c r="P25" s="15" t="s">
        <v>20</v>
      </c>
    </row>
    <row r="26" spans="1:16" x14ac:dyDescent="0.4">
      <c r="A26" s="8">
        <v>24</v>
      </c>
      <c r="B26" s="14" t="s">
        <v>130</v>
      </c>
      <c r="C26" s="32" t="s">
        <v>148</v>
      </c>
      <c r="D26" s="16"/>
      <c r="E26" s="16"/>
      <c r="F26" s="19">
        <v>0</v>
      </c>
      <c r="G26" s="19">
        <v>0</v>
      </c>
      <c r="H26" s="10">
        <v>0</v>
      </c>
      <c r="I26" s="19">
        <v>0</v>
      </c>
      <c r="J26" s="19">
        <v>0</v>
      </c>
      <c r="K26" s="14" t="s">
        <v>16</v>
      </c>
      <c r="L26" s="15" t="s">
        <v>68</v>
      </c>
      <c r="M26" s="14" t="s">
        <v>55</v>
      </c>
      <c r="N26" s="17"/>
      <c r="O26" s="15" t="s">
        <v>77</v>
      </c>
      <c r="P26" s="15" t="s">
        <v>20</v>
      </c>
    </row>
    <row r="27" spans="1:16" x14ac:dyDescent="0.4">
      <c r="A27" s="8">
        <v>25</v>
      </c>
      <c r="B27" s="14" t="s">
        <v>131</v>
      </c>
      <c r="C27" s="32" t="s">
        <v>148</v>
      </c>
      <c r="D27" s="16"/>
      <c r="E27" s="16"/>
      <c r="F27" s="19">
        <v>0</v>
      </c>
      <c r="G27" s="19">
        <v>0</v>
      </c>
      <c r="H27" s="10">
        <v>0</v>
      </c>
      <c r="I27" s="19">
        <v>0</v>
      </c>
      <c r="J27" s="19">
        <v>0</v>
      </c>
      <c r="K27" s="14" t="s">
        <v>16</v>
      </c>
      <c r="L27" s="15" t="s">
        <v>68</v>
      </c>
      <c r="M27" s="14" t="s">
        <v>56</v>
      </c>
      <c r="N27" s="17"/>
      <c r="O27" s="15" t="s">
        <v>77</v>
      </c>
      <c r="P27" s="15" t="s">
        <v>20</v>
      </c>
    </row>
    <row r="28" spans="1:16" ht="34.799999999999997" x14ac:dyDescent="0.4">
      <c r="A28" s="8">
        <v>26</v>
      </c>
      <c r="B28" s="14" t="s">
        <v>132</v>
      </c>
      <c r="C28" s="32" t="s">
        <v>148</v>
      </c>
      <c r="D28" s="16"/>
      <c r="E28" s="16"/>
      <c r="F28" s="19">
        <v>0</v>
      </c>
      <c r="G28" s="19">
        <v>0</v>
      </c>
      <c r="H28" s="10">
        <v>0</v>
      </c>
      <c r="I28" s="19">
        <v>0</v>
      </c>
      <c r="J28" s="19">
        <v>0</v>
      </c>
      <c r="K28" s="14" t="s">
        <v>16</v>
      </c>
      <c r="L28" s="15" t="s">
        <v>68</v>
      </c>
      <c r="M28" s="14" t="s">
        <v>57</v>
      </c>
      <c r="N28" s="17"/>
      <c r="O28" s="15" t="s">
        <v>77</v>
      </c>
      <c r="P28" s="15" t="s">
        <v>20</v>
      </c>
    </row>
    <row r="29" spans="1:16" x14ac:dyDescent="0.4">
      <c r="A29" s="8">
        <v>27</v>
      </c>
      <c r="B29" s="14" t="s">
        <v>133</v>
      </c>
      <c r="C29" s="32" t="s">
        <v>148</v>
      </c>
      <c r="D29" s="16"/>
      <c r="E29" s="16"/>
      <c r="F29" s="19">
        <v>0</v>
      </c>
      <c r="G29" s="19">
        <v>0</v>
      </c>
      <c r="H29" s="10">
        <v>0</v>
      </c>
      <c r="I29" s="19">
        <v>0</v>
      </c>
      <c r="J29" s="19">
        <v>0</v>
      </c>
      <c r="K29" s="14" t="s">
        <v>16</v>
      </c>
      <c r="L29" s="15" t="s">
        <v>68</v>
      </c>
      <c r="M29" s="14" t="s">
        <v>58</v>
      </c>
      <c r="N29" s="17"/>
      <c r="O29" s="15" t="s">
        <v>77</v>
      </c>
      <c r="P29" s="15" t="s">
        <v>20</v>
      </c>
    </row>
    <row r="30" spans="1:16" x14ac:dyDescent="0.4">
      <c r="A30" s="8">
        <v>28</v>
      </c>
      <c r="B30" s="14" t="s">
        <v>134</v>
      </c>
      <c r="C30" s="32" t="s">
        <v>148</v>
      </c>
      <c r="D30" s="16"/>
      <c r="E30" s="16"/>
      <c r="F30" s="19">
        <v>0</v>
      </c>
      <c r="G30" s="19">
        <v>0</v>
      </c>
      <c r="H30" s="10">
        <v>0</v>
      </c>
      <c r="I30" s="19">
        <v>0</v>
      </c>
      <c r="J30" s="19">
        <v>0</v>
      </c>
      <c r="K30" s="14" t="s">
        <v>16</v>
      </c>
      <c r="L30" s="15" t="s">
        <v>68</v>
      </c>
      <c r="M30" s="14" t="s">
        <v>59</v>
      </c>
      <c r="N30" s="17"/>
      <c r="O30" s="15" t="s">
        <v>77</v>
      </c>
      <c r="P30" s="15" t="s">
        <v>20</v>
      </c>
    </row>
    <row r="31" spans="1:16" ht="34.799999999999997" x14ac:dyDescent="0.4">
      <c r="A31" s="8">
        <v>29</v>
      </c>
      <c r="B31" s="14" t="s">
        <v>135</v>
      </c>
      <c r="C31" s="32" t="s">
        <v>148</v>
      </c>
      <c r="D31" s="16"/>
      <c r="E31" s="16"/>
      <c r="F31" s="19">
        <v>0</v>
      </c>
      <c r="G31" s="19">
        <v>0</v>
      </c>
      <c r="H31" s="10">
        <v>0</v>
      </c>
      <c r="I31" s="19">
        <v>0</v>
      </c>
      <c r="J31" s="19">
        <v>0</v>
      </c>
      <c r="K31" s="14" t="s">
        <v>16</v>
      </c>
      <c r="L31" s="15" t="s">
        <v>68</v>
      </c>
      <c r="M31" s="14" t="s">
        <v>60</v>
      </c>
      <c r="N31" s="17"/>
      <c r="O31" s="15" t="s">
        <v>77</v>
      </c>
      <c r="P31" s="15" t="s">
        <v>20</v>
      </c>
    </row>
    <row r="32" spans="1:16" x14ac:dyDescent="0.4">
      <c r="A32" s="8">
        <v>30</v>
      </c>
      <c r="B32" s="14" t="s">
        <v>136</v>
      </c>
      <c r="C32" s="32" t="s">
        <v>148</v>
      </c>
      <c r="D32" s="16"/>
      <c r="E32" s="16"/>
      <c r="F32" s="19">
        <v>0</v>
      </c>
      <c r="G32" s="19">
        <v>0</v>
      </c>
      <c r="H32" s="10">
        <v>0</v>
      </c>
      <c r="I32" s="19">
        <v>0</v>
      </c>
      <c r="J32" s="19">
        <v>0</v>
      </c>
      <c r="K32" s="14" t="s">
        <v>16</v>
      </c>
      <c r="L32" s="15" t="s">
        <v>68</v>
      </c>
      <c r="M32" s="14" t="s">
        <v>61</v>
      </c>
      <c r="N32" s="17"/>
      <c r="O32" s="15" t="s">
        <v>77</v>
      </c>
      <c r="P32" s="15" t="s">
        <v>20</v>
      </c>
    </row>
    <row r="33" spans="1:16" x14ac:dyDescent="0.4">
      <c r="A33" s="8">
        <v>31</v>
      </c>
      <c r="B33" s="14" t="s">
        <v>137</v>
      </c>
      <c r="C33" s="32" t="s">
        <v>148</v>
      </c>
      <c r="D33" s="16"/>
      <c r="E33" s="16"/>
      <c r="F33" s="19">
        <v>0</v>
      </c>
      <c r="G33" s="19">
        <v>0</v>
      </c>
      <c r="H33" s="10">
        <v>0</v>
      </c>
      <c r="I33" s="19">
        <v>0</v>
      </c>
      <c r="J33" s="19">
        <v>0</v>
      </c>
      <c r="K33" s="14" t="s">
        <v>16</v>
      </c>
      <c r="L33" s="15" t="s">
        <v>68</v>
      </c>
      <c r="M33" s="14" t="s">
        <v>62</v>
      </c>
      <c r="N33" s="17"/>
      <c r="O33" s="15" t="s">
        <v>77</v>
      </c>
      <c r="P33" s="15" t="s">
        <v>20</v>
      </c>
    </row>
    <row r="34" spans="1:16" ht="69.599999999999994" x14ac:dyDescent="0.4">
      <c r="A34" s="8">
        <v>32</v>
      </c>
      <c r="B34" s="14" t="s">
        <v>138</v>
      </c>
      <c r="C34" s="32" t="s">
        <v>150</v>
      </c>
      <c r="D34" s="16"/>
      <c r="E34" s="16"/>
      <c r="F34" s="19">
        <v>0</v>
      </c>
      <c r="G34" s="19">
        <v>0</v>
      </c>
      <c r="H34" s="10">
        <v>0</v>
      </c>
      <c r="I34" s="19">
        <v>0</v>
      </c>
      <c r="J34" s="19">
        <v>0</v>
      </c>
      <c r="K34" s="14" t="s">
        <v>17</v>
      </c>
      <c r="L34" s="15" t="s">
        <v>98</v>
      </c>
      <c r="M34" s="14" t="s">
        <v>63</v>
      </c>
      <c r="N34" s="17"/>
      <c r="O34" s="15" t="s">
        <v>77</v>
      </c>
      <c r="P34" s="15" t="s">
        <v>20</v>
      </c>
    </row>
    <row r="35" spans="1:16" x14ac:dyDescent="0.4">
      <c r="A35" s="8">
        <v>33</v>
      </c>
      <c r="B35" s="14" t="s">
        <v>139</v>
      </c>
      <c r="C35" s="32" t="s">
        <v>148</v>
      </c>
      <c r="D35" s="16"/>
      <c r="E35" s="16"/>
      <c r="F35" s="19">
        <v>0</v>
      </c>
      <c r="G35" s="19">
        <v>0</v>
      </c>
      <c r="H35" s="10">
        <v>0</v>
      </c>
      <c r="I35" s="19">
        <v>0</v>
      </c>
      <c r="J35" s="19">
        <v>0</v>
      </c>
      <c r="K35" s="14" t="s">
        <v>16</v>
      </c>
      <c r="L35" s="15" t="s">
        <v>68</v>
      </c>
      <c r="M35" s="14" t="s">
        <v>64</v>
      </c>
      <c r="N35" s="17"/>
      <c r="O35" s="15" t="s">
        <v>77</v>
      </c>
      <c r="P35" s="15" t="s">
        <v>20</v>
      </c>
    </row>
    <row r="36" spans="1:16" x14ac:dyDescent="0.4">
      <c r="A36" s="8">
        <v>34</v>
      </c>
      <c r="B36" s="14" t="s">
        <v>140</v>
      </c>
      <c r="C36" s="32" t="s">
        <v>148</v>
      </c>
      <c r="D36" s="16"/>
      <c r="E36" s="16"/>
      <c r="F36" s="19">
        <v>0</v>
      </c>
      <c r="G36" s="19">
        <v>0</v>
      </c>
      <c r="H36" s="10">
        <v>0</v>
      </c>
      <c r="I36" s="19">
        <v>0</v>
      </c>
      <c r="J36" s="19">
        <v>0</v>
      </c>
      <c r="K36" s="14" t="s">
        <v>16</v>
      </c>
      <c r="L36" s="15" t="s">
        <v>68</v>
      </c>
      <c r="M36" s="14" t="s">
        <v>65</v>
      </c>
      <c r="N36" s="17"/>
      <c r="O36" s="15" t="s">
        <v>77</v>
      </c>
      <c r="P36" s="15" t="s">
        <v>20</v>
      </c>
    </row>
    <row r="37" spans="1:16" ht="34.799999999999997" x14ac:dyDescent="0.4">
      <c r="A37" s="8">
        <v>35</v>
      </c>
      <c r="B37" s="14" t="s">
        <v>141</v>
      </c>
      <c r="C37" s="32" t="s">
        <v>151</v>
      </c>
      <c r="D37" s="16"/>
      <c r="E37" s="16"/>
      <c r="F37" s="19">
        <v>0</v>
      </c>
      <c r="G37" s="19">
        <v>0</v>
      </c>
      <c r="H37" s="10">
        <v>0</v>
      </c>
      <c r="I37" s="19">
        <v>0</v>
      </c>
      <c r="J37" s="19">
        <v>0</v>
      </c>
      <c r="K37" s="14" t="s">
        <v>18</v>
      </c>
      <c r="L37" s="15" t="s">
        <v>68</v>
      </c>
      <c r="M37" s="14" t="s">
        <v>66</v>
      </c>
      <c r="N37" s="17"/>
      <c r="O37" s="15" t="s">
        <v>77</v>
      </c>
      <c r="P37" s="15" t="s">
        <v>20</v>
      </c>
    </row>
    <row r="38" spans="1:16" ht="52.2" x14ac:dyDescent="0.4">
      <c r="A38" s="8">
        <v>36</v>
      </c>
      <c r="B38" s="14" t="s">
        <v>87</v>
      </c>
      <c r="C38" s="32" t="s">
        <v>152</v>
      </c>
      <c r="D38" s="16"/>
      <c r="E38" s="16"/>
      <c r="F38" s="19">
        <v>0</v>
      </c>
      <c r="G38" s="19">
        <v>0</v>
      </c>
      <c r="H38" s="10">
        <v>0</v>
      </c>
      <c r="I38" s="19">
        <v>0</v>
      </c>
      <c r="J38" s="19">
        <v>0</v>
      </c>
      <c r="K38" s="14" t="s">
        <v>19</v>
      </c>
      <c r="L38" s="15" t="s">
        <v>97</v>
      </c>
      <c r="M38" s="14" t="s">
        <v>67</v>
      </c>
      <c r="N38" s="17"/>
      <c r="O38" s="15" t="s">
        <v>77</v>
      </c>
      <c r="P38" s="15" t="s">
        <v>20</v>
      </c>
    </row>
    <row r="39" spans="1:16" x14ac:dyDescent="0.4">
      <c r="A39" s="8">
        <v>37</v>
      </c>
      <c r="B39" s="18" t="s">
        <v>142</v>
      </c>
      <c r="C39" s="18" t="s">
        <v>153</v>
      </c>
      <c r="D39" s="19"/>
      <c r="E39" s="19"/>
      <c r="F39" s="19">
        <v>0</v>
      </c>
      <c r="G39" s="19">
        <v>0</v>
      </c>
      <c r="H39" s="10">
        <v>0</v>
      </c>
      <c r="I39" s="19">
        <v>0</v>
      </c>
      <c r="J39" s="19">
        <v>0</v>
      </c>
      <c r="K39" s="22" t="s">
        <v>70</v>
      </c>
      <c r="L39" s="19"/>
      <c r="M39" s="21" t="s">
        <v>35</v>
      </c>
      <c r="N39" s="17"/>
      <c r="O39" s="16" t="s">
        <v>76</v>
      </c>
      <c r="P39" s="16" t="s">
        <v>68</v>
      </c>
    </row>
    <row r="40" spans="1:16" x14ac:dyDescent="0.4">
      <c r="A40" s="8">
        <v>38</v>
      </c>
      <c r="B40" s="20" t="s">
        <v>78</v>
      </c>
      <c r="C40" s="18" t="s">
        <v>154</v>
      </c>
      <c r="D40" s="19"/>
      <c r="E40" s="19"/>
      <c r="F40" s="19">
        <v>0</v>
      </c>
      <c r="G40" s="19">
        <v>0</v>
      </c>
      <c r="H40" s="10">
        <v>0</v>
      </c>
      <c r="I40" s="19">
        <v>0</v>
      </c>
      <c r="J40" s="19">
        <v>0</v>
      </c>
      <c r="K40" s="22" t="s">
        <v>69</v>
      </c>
      <c r="L40" s="19"/>
      <c r="M40" s="21" t="s">
        <v>80</v>
      </c>
      <c r="N40" s="17"/>
      <c r="O40" s="16" t="s">
        <v>77</v>
      </c>
      <c r="P40" s="16" t="s">
        <v>86</v>
      </c>
    </row>
    <row r="41" spans="1:16" x14ac:dyDescent="0.4">
      <c r="A41" s="8">
        <v>39</v>
      </c>
      <c r="B41" s="20" t="s">
        <v>81</v>
      </c>
      <c r="C41" s="18" t="s">
        <v>154</v>
      </c>
      <c r="D41" s="19"/>
      <c r="E41" s="19"/>
      <c r="F41" s="19">
        <v>0</v>
      </c>
      <c r="G41" s="19">
        <v>0</v>
      </c>
      <c r="H41" s="10">
        <v>0</v>
      </c>
      <c r="I41" s="19">
        <v>0</v>
      </c>
      <c r="J41" s="19">
        <v>0</v>
      </c>
      <c r="K41" s="22" t="s">
        <v>69</v>
      </c>
      <c r="L41" s="19"/>
      <c r="M41" s="21" t="s">
        <v>80</v>
      </c>
      <c r="N41" s="17"/>
      <c r="O41" s="16" t="s">
        <v>77</v>
      </c>
      <c r="P41" s="16" t="s">
        <v>86</v>
      </c>
    </row>
    <row r="42" spans="1:16" x14ac:dyDescent="0.4">
      <c r="A42" s="8">
        <v>40</v>
      </c>
      <c r="B42" s="20" t="s">
        <v>82</v>
      </c>
      <c r="C42" s="18" t="s">
        <v>154</v>
      </c>
      <c r="D42" s="19"/>
      <c r="E42" s="19"/>
      <c r="F42" s="19">
        <v>0</v>
      </c>
      <c r="G42" s="19">
        <v>0</v>
      </c>
      <c r="H42" s="10">
        <v>0</v>
      </c>
      <c r="I42" s="19">
        <v>0</v>
      </c>
      <c r="J42" s="19">
        <v>0</v>
      </c>
      <c r="K42" s="22" t="s">
        <v>69</v>
      </c>
      <c r="L42" s="19"/>
      <c r="M42" s="21" t="s">
        <v>80</v>
      </c>
      <c r="N42" s="17"/>
      <c r="O42" s="16" t="s">
        <v>77</v>
      </c>
      <c r="P42" s="16" t="s">
        <v>86</v>
      </c>
    </row>
    <row r="43" spans="1:16" ht="34.799999999999997" x14ac:dyDescent="0.4">
      <c r="A43" s="8">
        <v>41</v>
      </c>
      <c r="B43" s="20" t="s">
        <v>83</v>
      </c>
      <c r="C43" s="18" t="s">
        <v>154</v>
      </c>
      <c r="D43" s="19"/>
      <c r="E43" s="19"/>
      <c r="F43" s="19">
        <v>0</v>
      </c>
      <c r="G43" s="19">
        <v>0</v>
      </c>
      <c r="H43" s="10">
        <v>0</v>
      </c>
      <c r="I43" s="19">
        <v>0</v>
      </c>
      <c r="J43" s="19">
        <v>0</v>
      </c>
      <c r="K43" s="22" t="s">
        <v>69</v>
      </c>
      <c r="L43" s="19"/>
      <c r="M43" s="21" t="s">
        <v>80</v>
      </c>
      <c r="N43" s="17"/>
      <c r="O43" s="16" t="s">
        <v>77</v>
      </c>
      <c r="P43" s="16" t="s">
        <v>86</v>
      </c>
    </row>
    <row r="44" spans="1:16" ht="34.799999999999997" x14ac:dyDescent="0.4">
      <c r="A44" s="8">
        <v>42</v>
      </c>
      <c r="B44" s="20" t="s">
        <v>84</v>
      </c>
      <c r="C44" s="18" t="s">
        <v>154</v>
      </c>
      <c r="D44" s="19"/>
      <c r="E44" s="19"/>
      <c r="F44" s="19">
        <v>0</v>
      </c>
      <c r="G44" s="19">
        <v>0</v>
      </c>
      <c r="H44" s="10">
        <v>0</v>
      </c>
      <c r="I44" s="19">
        <v>0</v>
      </c>
      <c r="J44" s="19">
        <v>0</v>
      </c>
      <c r="K44" s="22" t="s">
        <v>69</v>
      </c>
      <c r="L44" s="19"/>
      <c r="M44" s="21" t="s">
        <v>80</v>
      </c>
      <c r="N44" s="17"/>
      <c r="O44" s="16" t="s">
        <v>77</v>
      </c>
      <c r="P44" s="16" t="s">
        <v>86</v>
      </c>
    </row>
    <row r="45" spans="1:16" x14ac:dyDescent="0.4">
      <c r="A45" s="8">
        <v>43</v>
      </c>
      <c r="B45" s="20" t="s">
        <v>85</v>
      </c>
      <c r="C45" s="18" t="s">
        <v>154</v>
      </c>
      <c r="D45" s="19"/>
      <c r="E45" s="19"/>
      <c r="F45" s="19">
        <v>0</v>
      </c>
      <c r="G45" s="19">
        <v>0</v>
      </c>
      <c r="H45" s="10">
        <v>0</v>
      </c>
      <c r="I45" s="19">
        <v>0</v>
      </c>
      <c r="J45" s="19">
        <v>0</v>
      </c>
      <c r="K45" s="22" t="s">
        <v>69</v>
      </c>
      <c r="L45" s="19"/>
      <c r="M45" s="21" t="s">
        <v>80</v>
      </c>
      <c r="N45" s="17"/>
      <c r="O45" s="16" t="s">
        <v>77</v>
      </c>
      <c r="P45" s="16" t="s">
        <v>86</v>
      </c>
    </row>
    <row r="46" spans="1:16" x14ac:dyDescent="0.4">
      <c r="A46" s="8">
        <v>44</v>
      </c>
      <c r="B46" s="20" t="s">
        <v>87</v>
      </c>
      <c r="C46" s="18" t="s">
        <v>152</v>
      </c>
      <c r="D46" s="19"/>
      <c r="E46" s="19"/>
      <c r="F46" s="19">
        <v>0</v>
      </c>
      <c r="G46" s="19">
        <v>0</v>
      </c>
      <c r="H46" s="10">
        <v>0</v>
      </c>
      <c r="I46" s="19">
        <v>0</v>
      </c>
      <c r="J46" s="19">
        <v>0</v>
      </c>
      <c r="K46" s="22" t="s">
        <v>69</v>
      </c>
      <c r="L46" s="19"/>
      <c r="M46" s="21" t="s">
        <v>88</v>
      </c>
      <c r="N46" s="17"/>
      <c r="O46" s="16" t="s">
        <v>77</v>
      </c>
      <c r="P46" s="16" t="s">
        <v>68</v>
      </c>
    </row>
    <row r="47" spans="1:16" x14ac:dyDescent="0.4">
      <c r="A47" s="8">
        <v>45</v>
      </c>
      <c r="B47" s="20" t="s">
        <v>89</v>
      </c>
      <c r="C47" s="18" t="s">
        <v>154</v>
      </c>
      <c r="D47" s="19"/>
      <c r="E47" s="19"/>
      <c r="F47" s="19">
        <v>0</v>
      </c>
      <c r="G47" s="19">
        <v>0</v>
      </c>
      <c r="H47" s="10">
        <v>0</v>
      </c>
      <c r="I47" s="19">
        <v>0</v>
      </c>
      <c r="J47" s="19">
        <v>0</v>
      </c>
      <c r="K47" s="22" t="s">
        <v>69</v>
      </c>
      <c r="L47" s="19"/>
      <c r="M47" s="21" t="s">
        <v>80</v>
      </c>
      <c r="N47" s="17"/>
      <c r="O47" s="16" t="s">
        <v>77</v>
      </c>
      <c r="P47" s="16" t="s">
        <v>86</v>
      </c>
    </row>
    <row r="48" spans="1:16" x14ac:dyDescent="0.4">
      <c r="A48" s="8">
        <v>46</v>
      </c>
      <c r="B48" s="20" t="s">
        <v>90</v>
      </c>
      <c r="C48" s="18" t="s">
        <v>155</v>
      </c>
      <c r="D48" s="19"/>
      <c r="E48" s="19"/>
      <c r="F48" s="19">
        <v>0</v>
      </c>
      <c r="G48" s="19">
        <v>0</v>
      </c>
      <c r="H48" s="10">
        <v>0</v>
      </c>
      <c r="I48" s="19">
        <v>0</v>
      </c>
      <c r="J48" s="19">
        <v>0</v>
      </c>
      <c r="K48" s="22" t="s">
        <v>69</v>
      </c>
      <c r="L48" s="19"/>
      <c r="M48" s="21" t="s">
        <v>91</v>
      </c>
      <c r="N48" s="17"/>
      <c r="O48" s="16" t="s">
        <v>77</v>
      </c>
      <c r="P48" s="16" t="s">
        <v>68</v>
      </c>
    </row>
    <row r="49" spans="1:16" x14ac:dyDescent="0.4">
      <c r="A49" s="8">
        <v>47</v>
      </c>
      <c r="B49" s="18" t="s">
        <v>141</v>
      </c>
      <c r="C49" s="18" t="s">
        <v>151</v>
      </c>
      <c r="D49" s="19"/>
      <c r="E49" s="19"/>
      <c r="F49" s="19">
        <v>0</v>
      </c>
      <c r="G49" s="19">
        <v>0</v>
      </c>
      <c r="H49" s="10">
        <v>0</v>
      </c>
      <c r="I49" s="19">
        <v>0</v>
      </c>
      <c r="J49" s="19">
        <v>0</v>
      </c>
      <c r="K49" s="22" t="s">
        <v>71</v>
      </c>
      <c r="L49" s="19"/>
      <c r="M49" s="21" t="s">
        <v>66</v>
      </c>
      <c r="N49" s="17"/>
      <c r="O49" s="16" t="s">
        <v>77</v>
      </c>
      <c r="P49" s="16" t="s">
        <v>20</v>
      </c>
    </row>
    <row r="50" spans="1:16" x14ac:dyDescent="0.4">
      <c r="A50" s="8">
        <v>48</v>
      </c>
      <c r="B50" s="18" t="s">
        <v>111</v>
      </c>
      <c r="C50" s="18">
        <v>1.9</v>
      </c>
      <c r="D50" s="19"/>
      <c r="E50" s="19"/>
      <c r="F50" s="19">
        <v>0</v>
      </c>
      <c r="G50" s="19">
        <v>0</v>
      </c>
      <c r="H50" s="10">
        <v>0</v>
      </c>
      <c r="I50" s="19">
        <v>0</v>
      </c>
      <c r="J50" s="19">
        <v>0</v>
      </c>
      <c r="K50" s="22" t="s">
        <v>72</v>
      </c>
      <c r="L50" s="19"/>
      <c r="M50" s="21" t="s">
        <v>35</v>
      </c>
      <c r="N50" s="17"/>
      <c r="O50" s="16" t="s">
        <v>77</v>
      </c>
      <c r="P50" s="16" t="s">
        <v>20</v>
      </c>
    </row>
    <row r="51" spans="1:16" x14ac:dyDescent="0.4">
      <c r="A51" s="8">
        <v>49</v>
      </c>
      <c r="B51" s="18" t="s">
        <v>111</v>
      </c>
      <c r="C51" s="18">
        <v>1.1100000000000001</v>
      </c>
      <c r="D51" s="19"/>
      <c r="E51" s="19"/>
      <c r="F51" s="19">
        <v>0</v>
      </c>
      <c r="G51" s="19">
        <v>0</v>
      </c>
      <c r="H51" s="10">
        <v>0</v>
      </c>
      <c r="I51" s="19">
        <v>0</v>
      </c>
      <c r="J51" s="19">
        <v>0</v>
      </c>
      <c r="K51" s="22" t="s">
        <v>72</v>
      </c>
      <c r="L51" s="19"/>
      <c r="M51" s="21" t="s">
        <v>66</v>
      </c>
      <c r="N51" s="17"/>
      <c r="O51" s="16" t="s">
        <v>77</v>
      </c>
      <c r="P51" s="16" t="s">
        <v>20</v>
      </c>
    </row>
    <row r="52" spans="1:16" x14ac:dyDescent="0.4">
      <c r="A52" s="8">
        <v>50</v>
      </c>
      <c r="B52" s="20" t="s">
        <v>92</v>
      </c>
      <c r="C52" s="18" t="s">
        <v>154</v>
      </c>
      <c r="D52" s="19"/>
      <c r="E52" s="19"/>
      <c r="F52" s="19">
        <v>0</v>
      </c>
      <c r="G52" s="19">
        <v>0</v>
      </c>
      <c r="H52" s="10">
        <v>0</v>
      </c>
      <c r="I52" s="19">
        <v>0</v>
      </c>
      <c r="J52" s="19">
        <v>0</v>
      </c>
      <c r="K52" s="22" t="s">
        <v>69</v>
      </c>
      <c r="L52" s="19"/>
      <c r="M52" s="21" t="s">
        <v>79</v>
      </c>
      <c r="N52" s="17"/>
      <c r="O52" s="16" t="s">
        <v>77</v>
      </c>
      <c r="P52" s="16" t="s">
        <v>86</v>
      </c>
    </row>
    <row r="53" spans="1:16" x14ac:dyDescent="0.4">
      <c r="A53" s="8">
        <v>51</v>
      </c>
      <c r="B53" s="20" t="s">
        <v>93</v>
      </c>
      <c r="C53" s="18" t="s">
        <v>154</v>
      </c>
      <c r="D53" s="19"/>
      <c r="E53" s="19"/>
      <c r="F53" s="19">
        <v>0</v>
      </c>
      <c r="G53" s="19">
        <v>0</v>
      </c>
      <c r="H53" s="10">
        <v>0</v>
      </c>
      <c r="I53" s="19">
        <v>0</v>
      </c>
      <c r="J53" s="19">
        <v>0</v>
      </c>
      <c r="K53" s="22" t="s">
        <v>69</v>
      </c>
      <c r="L53" s="19"/>
      <c r="M53" s="21" t="s">
        <v>80</v>
      </c>
      <c r="N53" s="17"/>
      <c r="O53" s="16" t="s">
        <v>77</v>
      </c>
      <c r="P53" s="16" t="s">
        <v>86</v>
      </c>
    </row>
    <row r="54" spans="1:16" x14ac:dyDescent="0.4">
      <c r="A54" s="8">
        <v>52</v>
      </c>
      <c r="B54" s="20" t="s">
        <v>94</v>
      </c>
      <c r="C54" s="18" t="s">
        <v>154</v>
      </c>
      <c r="D54" s="19"/>
      <c r="E54" s="19"/>
      <c r="F54" s="19">
        <v>0</v>
      </c>
      <c r="G54" s="19">
        <v>0</v>
      </c>
      <c r="H54" s="10">
        <v>0</v>
      </c>
      <c r="I54" s="19">
        <v>0</v>
      </c>
      <c r="J54" s="19">
        <v>0</v>
      </c>
      <c r="K54" s="22" t="s">
        <v>69</v>
      </c>
      <c r="L54" s="19"/>
      <c r="M54" s="21" t="s">
        <v>80</v>
      </c>
      <c r="N54" s="17"/>
      <c r="O54" s="16" t="s">
        <v>77</v>
      </c>
      <c r="P54" s="16" t="s">
        <v>86</v>
      </c>
    </row>
    <row r="55" spans="1:16" ht="34.799999999999997" x14ac:dyDescent="0.4">
      <c r="A55" s="8">
        <v>53</v>
      </c>
      <c r="B55" s="18" t="s">
        <v>138</v>
      </c>
      <c r="C55" s="18" t="s">
        <v>150</v>
      </c>
      <c r="D55" s="19"/>
      <c r="E55" s="19"/>
      <c r="F55" s="19">
        <v>0</v>
      </c>
      <c r="G55" s="19">
        <v>0</v>
      </c>
      <c r="H55" s="10">
        <v>0</v>
      </c>
      <c r="I55" s="19">
        <v>0</v>
      </c>
      <c r="J55" s="19">
        <v>0</v>
      </c>
      <c r="K55" s="22" t="s">
        <v>73</v>
      </c>
      <c r="L55" s="19"/>
      <c r="M55" s="21" t="s">
        <v>63</v>
      </c>
      <c r="N55" s="17"/>
      <c r="O55" s="16" t="s">
        <v>77</v>
      </c>
      <c r="P55" s="16" t="s">
        <v>20</v>
      </c>
    </row>
    <row r="56" spans="1:16" x14ac:dyDescent="0.4">
      <c r="A56" s="8">
        <v>54</v>
      </c>
      <c r="B56" s="20" t="s">
        <v>95</v>
      </c>
      <c r="C56" s="18" t="s">
        <v>154</v>
      </c>
      <c r="D56" s="19"/>
      <c r="E56" s="19"/>
      <c r="F56" s="19">
        <v>0</v>
      </c>
      <c r="G56" s="19">
        <v>0</v>
      </c>
      <c r="H56" s="10">
        <v>0</v>
      </c>
      <c r="I56" s="19">
        <v>0</v>
      </c>
      <c r="J56" s="19">
        <v>0</v>
      </c>
      <c r="K56" s="22" t="s">
        <v>69</v>
      </c>
      <c r="L56" s="19"/>
      <c r="M56" s="21" t="s">
        <v>80</v>
      </c>
      <c r="N56" s="17"/>
      <c r="O56" s="16" t="s">
        <v>77</v>
      </c>
      <c r="P56" s="16" t="s">
        <v>86</v>
      </c>
    </row>
    <row r="57" spans="1:16" x14ac:dyDescent="0.4">
      <c r="A57" s="8">
        <v>55</v>
      </c>
      <c r="B57" s="20" t="s">
        <v>96</v>
      </c>
      <c r="C57" s="18" t="s">
        <v>154</v>
      </c>
      <c r="D57" s="19"/>
      <c r="E57" s="19"/>
      <c r="F57" s="19">
        <v>0</v>
      </c>
      <c r="G57" s="19">
        <v>0</v>
      </c>
      <c r="H57" s="10">
        <v>0</v>
      </c>
      <c r="I57" s="19">
        <v>0</v>
      </c>
      <c r="J57" s="19">
        <v>0</v>
      </c>
      <c r="K57" s="22" t="s">
        <v>69</v>
      </c>
      <c r="L57" s="19"/>
      <c r="M57" s="21" t="s">
        <v>80</v>
      </c>
      <c r="N57" s="17"/>
      <c r="O57" s="16" t="s">
        <v>77</v>
      </c>
      <c r="P57" s="16" t="s">
        <v>86</v>
      </c>
    </row>
    <row r="58" spans="1:16" x14ac:dyDescent="0.4">
      <c r="A58" s="8">
        <v>56</v>
      </c>
      <c r="B58" s="20" t="s">
        <v>143</v>
      </c>
      <c r="C58" s="18" t="s">
        <v>154</v>
      </c>
      <c r="D58" s="19"/>
      <c r="E58" s="19"/>
      <c r="F58" s="19">
        <v>0</v>
      </c>
      <c r="G58" s="19">
        <v>0</v>
      </c>
      <c r="H58" s="10">
        <v>0</v>
      </c>
      <c r="I58" s="19">
        <v>0</v>
      </c>
      <c r="J58" s="19">
        <v>0</v>
      </c>
      <c r="K58" s="22" t="s">
        <v>69</v>
      </c>
      <c r="L58" s="19"/>
      <c r="M58" s="21" t="s">
        <v>80</v>
      </c>
      <c r="N58" s="17"/>
      <c r="O58" s="16" t="s">
        <v>77</v>
      </c>
      <c r="P58" s="16" t="s">
        <v>86</v>
      </c>
    </row>
    <row r="59" spans="1:16" x14ac:dyDescent="0.4">
      <c r="A59" s="8">
        <v>57</v>
      </c>
      <c r="B59" s="20" t="s">
        <v>144</v>
      </c>
      <c r="C59" s="18" t="s">
        <v>154</v>
      </c>
      <c r="D59" s="19"/>
      <c r="E59" s="19"/>
      <c r="F59" s="19">
        <v>0</v>
      </c>
      <c r="G59" s="19">
        <v>0</v>
      </c>
      <c r="H59" s="10">
        <v>0</v>
      </c>
      <c r="I59" s="19">
        <v>0</v>
      </c>
      <c r="J59" s="19">
        <v>0</v>
      </c>
      <c r="K59" s="22" t="s">
        <v>69</v>
      </c>
      <c r="L59" s="19"/>
      <c r="M59" s="21" t="s">
        <v>80</v>
      </c>
      <c r="N59" s="17"/>
      <c r="O59" s="16" t="s">
        <v>77</v>
      </c>
      <c r="P59" s="16" t="s">
        <v>86</v>
      </c>
    </row>
    <row r="60" spans="1:16" x14ac:dyDescent="0.4">
      <c r="A60" s="8">
        <v>58</v>
      </c>
      <c r="B60" s="20" t="s">
        <v>145</v>
      </c>
      <c r="C60" s="18" t="s">
        <v>154</v>
      </c>
      <c r="D60" s="19"/>
      <c r="E60" s="19"/>
      <c r="F60" s="19">
        <v>0</v>
      </c>
      <c r="G60" s="19">
        <v>0</v>
      </c>
      <c r="H60" s="10">
        <v>0</v>
      </c>
      <c r="I60" s="19">
        <v>0</v>
      </c>
      <c r="J60" s="19">
        <v>0</v>
      </c>
      <c r="K60" s="22" t="s">
        <v>69</v>
      </c>
      <c r="L60" s="19"/>
      <c r="M60" s="21" t="s">
        <v>80</v>
      </c>
      <c r="N60" s="17"/>
      <c r="O60" s="16" t="s">
        <v>77</v>
      </c>
      <c r="P60" s="16" t="s">
        <v>86</v>
      </c>
    </row>
    <row r="61" spans="1:16" x14ac:dyDescent="0.4">
      <c r="A61" s="8">
        <v>59</v>
      </c>
      <c r="B61" s="20" t="s">
        <v>146</v>
      </c>
      <c r="C61" s="18" t="s">
        <v>154</v>
      </c>
      <c r="D61" s="19"/>
      <c r="E61" s="19"/>
      <c r="F61" s="19">
        <v>0</v>
      </c>
      <c r="G61" s="19">
        <v>0</v>
      </c>
      <c r="H61" s="10">
        <v>0</v>
      </c>
      <c r="I61" s="19">
        <v>0</v>
      </c>
      <c r="J61" s="19">
        <v>0</v>
      </c>
      <c r="K61" s="22" t="s">
        <v>69</v>
      </c>
      <c r="L61" s="19"/>
      <c r="M61" s="21" t="s">
        <v>80</v>
      </c>
      <c r="N61" s="17"/>
      <c r="O61" s="16" t="s">
        <v>77</v>
      </c>
      <c r="P61" s="16" t="s">
        <v>86</v>
      </c>
    </row>
    <row r="62" spans="1:16" x14ac:dyDescent="0.4">
      <c r="A62" s="8">
        <v>60</v>
      </c>
      <c r="B62" s="20" t="s">
        <v>147</v>
      </c>
      <c r="C62" s="18" t="s">
        <v>154</v>
      </c>
      <c r="D62" s="19"/>
      <c r="E62" s="19"/>
      <c r="F62" s="19">
        <v>0</v>
      </c>
      <c r="G62" s="19">
        <v>0</v>
      </c>
      <c r="H62" s="10">
        <v>0</v>
      </c>
      <c r="I62" s="19">
        <v>0</v>
      </c>
      <c r="J62" s="19">
        <v>0</v>
      </c>
      <c r="K62" s="22" t="s">
        <v>69</v>
      </c>
      <c r="L62" s="19"/>
      <c r="M62" s="21" t="s">
        <v>80</v>
      </c>
      <c r="N62" s="17"/>
      <c r="O62" s="16" t="s">
        <v>77</v>
      </c>
      <c r="P62" s="16" t="s">
        <v>86</v>
      </c>
    </row>
    <row r="1046458" spans="4:4" x14ac:dyDescent="0.4">
      <c r="D1046458" s="2"/>
    </row>
  </sheetData>
  <autoFilter ref="A2:P62" xr:uid="{00000000-0009-0000-0000-000000000000}"/>
  <mergeCells count="10">
    <mergeCell ref="A1:A2"/>
    <mergeCell ref="N1:N2"/>
    <mergeCell ref="D1:D2"/>
    <mergeCell ref="B1:B2"/>
    <mergeCell ref="P1:P2"/>
    <mergeCell ref="E1:J1"/>
    <mergeCell ref="K1:L1"/>
    <mergeCell ref="C1:C2"/>
    <mergeCell ref="O1:O2"/>
    <mergeCell ref="M1:M2"/>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K11"/>
  <sheetViews>
    <sheetView zoomScale="70" zoomScaleNormal="70" zoomScaleSheetLayoutView="70" workbookViewId="0">
      <pane ySplit="2" topLeftCell="A3" activePane="bottomLeft" state="frozen"/>
      <selection pane="bottomLeft" sqref="A1:J1"/>
    </sheetView>
  </sheetViews>
  <sheetFormatPr defaultRowHeight="17.399999999999999" x14ac:dyDescent="0.4"/>
  <cols>
    <col min="1" max="1" width="10.09765625" style="1" customWidth="1"/>
    <col min="2" max="2" width="20.19921875" style="1" customWidth="1"/>
    <col min="3" max="3" width="12.796875" style="1" customWidth="1"/>
    <col min="4" max="4" width="17" style="1" customWidth="1"/>
    <col min="5" max="5" width="41" style="7" customWidth="1"/>
    <col min="6" max="6" width="13.8984375" style="1" customWidth="1"/>
    <col min="7" max="7" width="14.19921875" style="1" customWidth="1"/>
    <col min="8" max="8" width="16.09765625" style="1" customWidth="1"/>
    <col min="9" max="9" width="20.296875" style="7" customWidth="1"/>
    <col min="10" max="10" width="152.59765625" style="7" customWidth="1"/>
    <col min="11" max="11" width="7.69921875" style="4" customWidth="1"/>
  </cols>
  <sheetData>
    <row r="1" spans="1:10" ht="107.25" customHeight="1" x14ac:dyDescent="0.4">
      <c r="A1" s="36" t="s">
        <v>110</v>
      </c>
      <c r="B1" s="37"/>
      <c r="C1" s="37"/>
      <c r="D1" s="37"/>
      <c r="E1" s="37"/>
      <c r="F1" s="37"/>
      <c r="G1" s="37"/>
      <c r="H1" s="37"/>
      <c r="I1" s="37"/>
      <c r="J1" s="37"/>
    </row>
    <row r="2" spans="1:10" ht="16.95" customHeight="1" x14ac:dyDescent="0.4">
      <c r="A2" s="6" t="s">
        <v>0</v>
      </c>
      <c r="B2" s="6" t="s">
        <v>11</v>
      </c>
      <c r="C2" s="6" t="s">
        <v>10</v>
      </c>
      <c r="D2" s="6" t="s">
        <v>12</v>
      </c>
      <c r="E2" s="6" t="s">
        <v>1</v>
      </c>
      <c r="F2" s="6" t="s">
        <v>2</v>
      </c>
      <c r="G2" s="5" t="str">
        <f>"KEV ("&amp;COUNTIF(G3:G11,"Y")&amp;")건"</f>
        <v>KEV (0)건</v>
      </c>
      <c r="H2" s="6" t="s">
        <v>13</v>
      </c>
      <c r="I2" s="6" t="s">
        <v>14</v>
      </c>
      <c r="J2" s="6" t="s">
        <v>15</v>
      </c>
    </row>
    <row r="3" spans="1:10" ht="104.4" x14ac:dyDescent="0.4">
      <c r="A3" s="11">
        <v>1</v>
      </c>
      <c r="B3" s="16" t="s">
        <v>22</v>
      </c>
      <c r="C3" s="24" t="s">
        <v>98</v>
      </c>
      <c r="D3" s="16">
        <v>6.9</v>
      </c>
      <c r="E3" s="23" t="s">
        <v>156</v>
      </c>
      <c r="F3" s="33" t="s">
        <v>148</v>
      </c>
      <c r="G3" s="12"/>
      <c r="H3" s="12">
        <v>3.4000000000000002E-4</v>
      </c>
      <c r="I3" s="23" t="s">
        <v>33</v>
      </c>
      <c r="J3" s="14" t="s">
        <v>28</v>
      </c>
    </row>
    <row r="4" spans="1:10" ht="104.4" x14ac:dyDescent="0.4">
      <c r="A4" s="11">
        <v>2</v>
      </c>
      <c r="B4" s="16" t="s">
        <v>23</v>
      </c>
      <c r="C4" s="24" t="s">
        <v>98</v>
      </c>
      <c r="D4" s="16">
        <v>6.9</v>
      </c>
      <c r="E4" s="23" t="s">
        <v>156</v>
      </c>
      <c r="F4" s="33" t="s">
        <v>148</v>
      </c>
      <c r="G4" s="12"/>
      <c r="H4" s="12">
        <v>1.2600000000000001E-3</v>
      </c>
      <c r="I4" s="23" t="s">
        <v>34</v>
      </c>
      <c r="J4" s="14" t="s">
        <v>29</v>
      </c>
    </row>
    <row r="5" spans="1:10" ht="121.8" x14ac:dyDescent="0.4">
      <c r="A5" s="11">
        <v>3</v>
      </c>
      <c r="B5" s="16" t="s">
        <v>24</v>
      </c>
      <c r="C5" s="24" t="s">
        <v>98</v>
      </c>
      <c r="D5" s="16">
        <v>6.9</v>
      </c>
      <c r="E5" s="23" t="s">
        <v>156</v>
      </c>
      <c r="F5" s="33" t="s">
        <v>148</v>
      </c>
      <c r="G5" s="12"/>
      <c r="H5" s="12">
        <v>3.4000000000000002E-4</v>
      </c>
      <c r="I5" s="23" t="s">
        <v>34</v>
      </c>
      <c r="J5" s="14" t="s">
        <v>30</v>
      </c>
    </row>
    <row r="6" spans="1:10" ht="121.8" x14ac:dyDescent="0.4">
      <c r="A6" s="11">
        <v>4</v>
      </c>
      <c r="B6" s="16" t="s">
        <v>108</v>
      </c>
      <c r="C6" s="24" t="s">
        <v>98</v>
      </c>
      <c r="D6" s="16">
        <v>6.3</v>
      </c>
      <c r="E6" s="23" t="s">
        <v>156</v>
      </c>
      <c r="F6" s="33" t="s">
        <v>148</v>
      </c>
      <c r="G6" s="12"/>
      <c r="H6" s="12">
        <v>2.9E-4</v>
      </c>
      <c r="I6" s="23" t="s">
        <v>32</v>
      </c>
      <c r="J6" s="14" t="s">
        <v>26</v>
      </c>
    </row>
    <row r="7" spans="1:10" ht="156.6" x14ac:dyDescent="0.4">
      <c r="A7" s="11">
        <v>5</v>
      </c>
      <c r="B7" s="16" t="s">
        <v>21</v>
      </c>
      <c r="C7" s="24" t="s">
        <v>98</v>
      </c>
      <c r="D7" s="16">
        <v>6.3</v>
      </c>
      <c r="E7" s="23" t="s">
        <v>156</v>
      </c>
      <c r="F7" s="33" t="s">
        <v>148</v>
      </c>
      <c r="G7" s="12"/>
      <c r="H7" s="12">
        <v>2.9E-4</v>
      </c>
      <c r="I7" s="23" t="s">
        <v>32</v>
      </c>
      <c r="J7" s="14" t="s">
        <v>27</v>
      </c>
    </row>
    <row r="8" spans="1:10" ht="69.599999999999994" x14ac:dyDescent="0.4">
      <c r="A8" s="11">
        <v>6</v>
      </c>
      <c r="B8" s="16" t="s">
        <v>25</v>
      </c>
      <c r="C8" s="24" t="s">
        <v>98</v>
      </c>
      <c r="D8" s="16">
        <v>6.3</v>
      </c>
      <c r="E8" s="23" t="s">
        <v>156</v>
      </c>
      <c r="F8" s="33" t="s">
        <v>148</v>
      </c>
      <c r="G8" s="12"/>
      <c r="H8" s="12">
        <v>5.5000000000000003E-4</v>
      </c>
      <c r="I8" s="23" t="s">
        <v>34</v>
      </c>
      <c r="J8" s="14" t="s">
        <v>31</v>
      </c>
    </row>
    <row r="9" spans="1:10" ht="139.19999999999999" x14ac:dyDescent="0.4">
      <c r="A9" s="11">
        <v>7</v>
      </c>
      <c r="B9" s="16" t="s">
        <v>99</v>
      </c>
      <c r="C9" s="24" t="s">
        <v>98</v>
      </c>
      <c r="D9" s="16">
        <v>5.5</v>
      </c>
      <c r="E9" s="23" t="s">
        <v>157</v>
      </c>
      <c r="F9" s="33">
        <v>4.1100000000000003</v>
      </c>
      <c r="G9" s="12"/>
      <c r="H9" s="12">
        <v>5.5999999999999995E-4</v>
      </c>
      <c r="I9" s="13"/>
      <c r="J9" s="14" t="s">
        <v>101</v>
      </c>
    </row>
    <row r="10" spans="1:10" ht="139.19999999999999" x14ac:dyDescent="0.4">
      <c r="A10" s="11">
        <v>8</v>
      </c>
      <c r="B10" s="16" t="s">
        <v>99</v>
      </c>
      <c r="C10" s="24" t="s">
        <v>98</v>
      </c>
      <c r="D10" s="16">
        <v>5.5</v>
      </c>
      <c r="E10" s="23" t="s">
        <v>157</v>
      </c>
      <c r="F10" s="33">
        <v>4.12</v>
      </c>
      <c r="G10" s="12"/>
      <c r="H10" s="12">
        <v>5.5999999999999995E-4</v>
      </c>
      <c r="I10" s="13"/>
      <c r="J10" s="14" t="s">
        <v>101</v>
      </c>
    </row>
    <row r="11" spans="1:10" ht="34.799999999999997" x14ac:dyDescent="0.4">
      <c r="A11" s="11">
        <v>9</v>
      </c>
      <c r="B11" s="16" t="s">
        <v>100</v>
      </c>
      <c r="C11" s="24" t="s">
        <v>98</v>
      </c>
      <c r="D11" s="16">
        <v>5.3</v>
      </c>
      <c r="E11" s="23" t="s">
        <v>158</v>
      </c>
      <c r="F11" s="33" t="s">
        <v>149</v>
      </c>
      <c r="G11" s="12"/>
      <c r="H11" s="12">
        <v>5.0499999999999998E-3</v>
      </c>
      <c r="I11" s="13"/>
      <c r="J11" s="14" t="s">
        <v>102</v>
      </c>
    </row>
  </sheetData>
  <autoFilter ref="A2:J11" xr:uid="{00000000-0009-0000-0000-000001000000}"/>
  <mergeCells count="1">
    <mergeCell ref="A1:J1"/>
  </mergeCells>
  <phoneticPr fontId="1" type="noConversion"/>
  <conditionalFormatting sqref="C3:C11">
    <cfRule type="cellIs" dxfId="3" priority="1" stopIfTrue="1" operator="equal">
      <formula>"CRITICAL"</formula>
    </cfRule>
    <cfRule type="cellIs" dxfId="2" priority="2" stopIfTrue="1" operator="equal">
      <formula>"HIGH"</formula>
    </cfRule>
    <cfRule type="cellIs" dxfId="1" priority="3" stopIfTrue="1" operator="equal">
      <formula>"MEDIUM"</formula>
    </cfRule>
    <cfRule type="cellIs" dxfId="0" priority="4" stopIfTrue="1" operator="equal">
      <formula>"LOW"</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안내</vt:lpstr>
      <vt:lpstr>컴포넌트 보안취약점_60건</vt:lpstr>
      <vt:lpstr>CVE 보안취약점_9건</vt:lpstr>
      <vt:lpstr>'컴포넌트 보안취약점_60건'!Print_Area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FINS</cp:lastModifiedBy>
  <dcterms:created xsi:type="dcterms:W3CDTF">2025-04-10T06:14:32Z</dcterms:created>
  <dcterms:modified xsi:type="dcterms:W3CDTF">2026-06-22T07:41:14Z</dcterms:modified>
</cp:coreProperties>
</file>